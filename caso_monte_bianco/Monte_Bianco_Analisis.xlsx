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puestos" sheetId="1" state="visible" r:id="rId3"/>
    <sheet name="Anexos" sheetId="2" state="visible" r:id="rId4"/>
    <sheet name="Diagnostico_2019" sheetId="3" state="visible" r:id="rId5"/>
    <sheet name="Mix_Produccion" sheetId="4" state="visible" r:id="rId6"/>
    <sheet name="EEFF_2020" sheetId="5" state="visible" r:id="rId7"/>
    <sheet name="Mejoras_MP" sheetId="6" state="visible" r:id="rId8"/>
    <sheet name="Plan_Mensual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0" authorId="0">
      <text>
        <r>
          <rPr>
            <sz val="10"/>
            <rFont val="Arial"/>
            <family val="2"/>
          </rPr>
          <t xml:space="preserve">Marca propia: 6.000.000 kg a 7 €/kg sin gasto de marketing</t>
        </r>
      </text>
    </comment>
  </commentList>
</comments>
</file>

<file path=xl/sharedStrings.xml><?xml version="1.0" encoding="utf-8"?>
<sst xmlns="http://schemas.openxmlformats.org/spreadsheetml/2006/main" count="576" uniqueCount="412">
  <si>
    <t xml:space="preserve">Cafés Monte Bianco – Supuestos y datos del caso (miles de €, salvo indicación)</t>
  </si>
  <si>
    <t xml:space="preserve">Azul = dato del caso o supuesto editable · Negro = fórmula · Verde = vínculo a otra hoja · Amarillo = supuesto clave</t>
  </si>
  <si>
    <t xml:space="preserve">Concepto</t>
  </si>
  <si>
    <t xml:space="preserve">Valor</t>
  </si>
  <si>
    <t xml:space="preserve">Unidad</t>
  </si>
  <si>
    <t xml:space="preserve">Fuente / comentario</t>
  </si>
  <si>
    <t xml:space="preserve">1. Estado de resultados 2019 (Anexo 1)</t>
  </si>
  <si>
    <t xml:space="preserve">Ingresos marca propia 2019</t>
  </si>
  <si>
    <t xml:space="preserve">miles €</t>
  </si>
  <si>
    <t xml:space="preserve">Anexo 1</t>
  </si>
  <si>
    <t xml:space="preserve">Ingresos marca de calidad superior 2019</t>
  </si>
  <si>
    <t xml:space="preserve">Costo de mercadería vendida 2019</t>
  </si>
  <si>
    <t xml:space="preserve">Anexo 1 (incluye depreciación)</t>
  </si>
  <si>
    <t xml:space="preserve">Depreciación 2019 incluida en el CMV</t>
  </si>
  <si>
    <t xml:space="preserve">Nota (*) del Anexo 1</t>
  </si>
  <si>
    <t xml:space="preserve">Gastos de marketing 2019</t>
  </si>
  <si>
    <t xml:space="preserve">Gastos de I+D 2019</t>
  </si>
  <si>
    <t xml:space="preserve">Gastos de venta 2019</t>
  </si>
  <si>
    <t xml:space="preserve">Gastos administrativos 2019</t>
  </si>
  <si>
    <t xml:space="preserve">Gastos de intereses 2019</t>
  </si>
  <si>
    <t xml:space="preserve">Tasa de impuestos</t>
  </si>
  <si>
    <t xml:space="preserve">%</t>
  </si>
  <si>
    <t xml:space="preserve">2. Balance al 31-dic-2019 (Anexo 1)</t>
  </si>
  <si>
    <t xml:space="preserve">Caja</t>
  </si>
  <si>
    <t xml:space="preserve">Inventario de materia prima</t>
  </si>
  <si>
    <t xml:space="preserve">Bienes terminados</t>
  </si>
  <si>
    <t xml:space="preserve">Bienes terminados (kg)</t>
  </si>
  <si>
    <t xml:space="preserve">kg</t>
  </si>
  <si>
    <t xml:space="preserve">Anexo 1 y Anexo 5 (inventario inicial)</t>
  </si>
  <si>
    <t xml:space="preserve">Cuentas a cobrar</t>
  </si>
  <si>
    <t xml:space="preserve">Bienes de uso (bruto, incluye la ampliación de 4,5 M€)</t>
  </si>
  <si>
    <t xml:space="preserve">Depreciación acumulada</t>
  </si>
  <si>
    <t xml:space="preserve">Anexo 1 (se resta)</t>
  </si>
  <si>
    <t xml:space="preserve">Lote desocupado incluido en bienes de uso</t>
  </si>
  <si>
    <t xml:space="preserve">Nota (*) del balance; se asume en miles de € como el resto del estado</t>
  </si>
  <si>
    <t xml:space="preserve">Cuentas a pagar</t>
  </si>
  <si>
    <t xml:space="preserve">Línea de crédito</t>
  </si>
  <si>
    <t xml:space="preserve">Deuda a largo plazo</t>
  </si>
  <si>
    <t xml:space="preserve">Límite total de la línea de crédito</t>
  </si>
  <si>
    <t xml:space="preserve">Texto del caso (Dino)</t>
  </si>
  <si>
    <t xml:space="preserve">3. Volúmenes 2019 (Anexo 4)</t>
  </si>
  <si>
    <t xml:space="preserve">Kilos vendidos marca propia 2019</t>
  </si>
  <si>
    <t xml:space="preserve">Anexo 4</t>
  </si>
  <si>
    <t xml:space="preserve">Kilos vendidos calidad superior 2019</t>
  </si>
  <si>
    <t xml:space="preserve">4. Capacidad e inversión</t>
  </si>
  <si>
    <t xml:space="preserve">Capacidad de producción mensual tras la ampliación</t>
  </si>
  <si>
    <t xml:space="preserve">kg/mes</t>
  </si>
  <si>
    <t xml:space="preserve">350.000 + 150.000 kg/mes (texto del caso y Anexo 5)</t>
  </si>
  <si>
    <t xml:space="preserve">Capacidad anual</t>
  </si>
  <si>
    <t xml:space="preserve">kg/año</t>
  </si>
  <si>
    <t xml:space="preserve">6.000.000 kg (Anexo 5)</t>
  </si>
  <si>
    <t xml:space="preserve">Inversión de la ampliación (ya incluida en bienes de uso 2019)</t>
  </si>
  <si>
    <t xml:space="preserve">Texto del caso</t>
  </si>
  <si>
    <t xml:space="preserve">Vida útil de la ampliación</t>
  </si>
  <si>
    <t xml:space="preserve">años</t>
  </si>
  <si>
    <t xml:space="preserve">Depreciación incremental anual</t>
  </si>
  <si>
    <t xml:space="preserve">Lineal</t>
  </si>
  <si>
    <t xml:space="preserve">Depreciación total 2020</t>
  </si>
  <si>
    <t xml:space="preserve">2.081 base + incremental (indicación del enunciado)</t>
  </si>
  <si>
    <t xml:space="preserve">¿Los costos fijos del Anexo 3 ya incluyen la depreciación base? (1 = sí, 0 = no)</t>
  </si>
  <si>
    <t xml:space="preserve">1/0</t>
  </si>
  <si>
    <t xml:space="preserve">Supuesto: sí, porque la depreciación 2019 está dentro del CMV; con 0 se suma 2.081 aparte al CMV</t>
  </si>
  <si>
    <t xml:space="preserve">5. Marca propia (Anexos 2 y 3)</t>
  </si>
  <si>
    <t xml:space="preserve">Precio marca propia</t>
  </si>
  <si>
    <t xml:space="preserve">€/kg</t>
  </si>
  <si>
    <t xml:space="preserve">Anexo 2 / texto (7,00 €/kg)</t>
  </si>
  <si>
    <t xml:space="preserve">Costo variable unitario marca propia</t>
  </si>
  <si>
    <t xml:space="preserve">Anexo 3</t>
  </si>
  <si>
    <t xml:space="preserve">Costos fijos de manufactura solo marca propia</t>
  </si>
  <si>
    <t xml:space="preserve">Costos fijos de manufactura con calidad superior (incluye los de marca propia)</t>
  </si>
  <si>
    <t xml:space="preserve">Anexo 3 y su nota (*)</t>
  </si>
  <si>
    <t xml:space="preserve">6. Ahorros de gastos si se pasa 100 % a marca propia (Carla)</t>
  </si>
  <si>
    <t xml:space="preserve">Ahorro en marketing</t>
  </si>
  <si>
    <t xml:space="preserve">Ahorro en gastos de venta</t>
  </si>
  <si>
    <t xml:space="preserve">Ahorro en I+D</t>
  </si>
  <si>
    <t xml:space="preserve">Ahorro en gastos administrativos</t>
  </si>
  <si>
    <t xml:space="preserve">7. Ahorros de gastos en el escenario de mix (marca propia + calidad superior)</t>
  </si>
  <si>
    <t xml:space="preserve">Ahorro en gastos de venta (mix)</t>
  </si>
  <si>
    <t xml:space="preserve">Supuesto: se mantiene la estructura comercial de 2019 porque sigue el negocio de calidad superior</t>
  </si>
  <si>
    <t xml:space="preserve">Ahorro en I+D (mix)</t>
  </si>
  <si>
    <t xml:space="preserve">Supuesto: se mantiene I+D (calidad superior lo requiere)</t>
  </si>
  <si>
    <t xml:space="preserve">Ahorro en gastos administrativos (mix)</t>
  </si>
  <si>
    <t xml:space="preserve">Supuesto: se mantiene</t>
  </si>
  <si>
    <t xml:space="preserve">8. Capital de trabajo y financiamiento</t>
  </si>
  <si>
    <t xml:space="preserve">Meses de ventas en CxC al cierre – marca propia (pago a 90 días)</t>
  </si>
  <si>
    <t xml:space="preserve">meses</t>
  </si>
  <si>
    <t xml:space="preserve">CxC final = ventas de oct + nov + dic (Anexo 4 y enunciado)</t>
  </si>
  <si>
    <t xml:space="preserve">Meses de ventas en CxC al cierre – calidad superior (pago a 30 días)</t>
  </si>
  <si>
    <t xml:space="preserve">CxC final = ventas de diciembre (política de 30 días)</t>
  </si>
  <si>
    <t xml:space="preserve">Proporción de ventas anuales en CxC – marca propia</t>
  </si>
  <si>
    <t xml:space="preserve">Suma de los últimos meses según la estacionalidad del Anexo 4</t>
  </si>
  <si>
    <t xml:space="preserve">Proporción de ventas anuales en CxC – calidad superior</t>
  </si>
  <si>
    <t xml:space="preserve">Rotación inventario de materia prima 2019 (CMV sin depreciación / inventario)</t>
  </si>
  <si>
    <t xml:space="preserve">veces</t>
  </si>
  <si>
    <t xml:space="preserve">Se mantiene en 2020</t>
  </si>
  <si>
    <t xml:space="preserve">Rotación de cuentas a pagar 2019 (CMV sin depreciación / CxP)</t>
  </si>
  <si>
    <t xml:space="preserve">Caja mínima operativa (% de ventas, igual que 2019)</t>
  </si>
  <si>
    <t xml:space="preserve">La caja del balance proyectado es la variable de cierre; se compara contra este mínimo</t>
  </si>
  <si>
    <t xml:space="preserve">Inventario final de bienes terminados 2020</t>
  </si>
  <si>
    <t xml:space="preserve">Anexo 5 (inventario final cero)</t>
  </si>
  <si>
    <t xml:space="preserve">Tasa de interés implícita 2019</t>
  </si>
  <si>
    <t xml:space="preserve">Intereses / deuda total; la deuda se mantiene constante en 2020</t>
  </si>
  <si>
    <t xml:space="preserve">Dividendos 2020</t>
  </si>
  <si>
    <t xml:space="preserve">Supuesto: no se reparten (toda la utilidad se retiene)</t>
  </si>
  <si>
    <t xml:space="preserve">Datos de los Anexos 2, 3 y 4</t>
  </si>
  <si>
    <t xml:space="preserve">Fuente: caso HBS 204-S18, Cafés Monte Bianco</t>
  </si>
  <si>
    <t xml:space="preserve">Calidad del café</t>
  </si>
  <si>
    <t xml:space="preserve">D</t>
  </si>
  <si>
    <t xml:space="preserve">C</t>
  </si>
  <si>
    <t xml:space="preserve">B</t>
  </si>
  <si>
    <t xml:space="preserve">BB</t>
  </si>
  <si>
    <t xml:space="preserve">A</t>
  </si>
  <si>
    <t xml:space="preserve">AA</t>
  </si>
  <si>
    <t xml:space="preserve">AAA</t>
  </si>
  <si>
    <t xml:space="preserve">Precio por kilo (€)</t>
  </si>
  <si>
    <t xml:space="preserve">Costo unitario variable (€/kg)</t>
  </si>
  <si>
    <t xml:space="preserve">Costos fijos (miles €) *</t>
  </si>
  <si>
    <t xml:space="preserve">* Los costos fijos de calidad superior incluyen los costos fijos de marca propia (Anexo 3).</t>
  </si>
  <si>
    <t xml:space="preserve">Anexo 2 – Volumen anual estimado (kg) según % de gasto de marketing / ventas</t>
  </si>
  <si>
    <t xml:space="preserve">Marketing / ventas</t>
  </si>
  <si>
    <t xml:space="preserve">Anexo 4 – Ventas 2019 por mes</t>
  </si>
  <si>
    <t xml:space="preserve">Mes</t>
  </si>
  <si>
    <t xml:space="preserve">% del total anual</t>
  </si>
  <si>
    <t xml:space="preserve">Marca propia (kg)</t>
  </si>
  <si>
    <t xml:space="preserve">Calidad superior (kg)</t>
  </si>
  <si>
    <t xml:space="preserve">Enero</t>
  </si>
  <si>
    <t xml:space="preserve">Febrero</t>
  </si>
  <si>
    <t xml:space="preserve">Marzo</t>
  </si>
  <si>
    <t xml:space="preserve">Abril</t>
  </si>
  <si>
    <t xml:space="preserve">Mayo</t>
  </si>
  <si>
    <t xml:space="preserve">Junio</t>
  </si>
  <si>
    <t xml:space="preserve">Julio</t>
  </si>
  <si>
    <t xml:space="preserve">Agosto</t>
  </si>
  <si>
    <t xml:space="preserve">Septiembre</t>
  </si>
  <si>
    <t xml:space="preserve">Octubre</t>
  </si>
  <si>
    <t xml:space="preserve">Noviembre</t>
  </si>
  <si>
    <t xml:space="preserve">Diciembre</t>
  </si>
  <si>
    <t xml:space="preserve">Total</t>
  </si>
  <si>
    <t xml:space="preserve">Diagnóstico financiero 2019 – ¿fue un año “excelente”?</t>
  </si>
  <si>
    <t xml:space="preserve">Miles de €</t>
  </si>
  <si>
    <t xml:space="preserve">Estado de resultados 2019</t>
  </si>
  <si>
    <t xml:space="preserve">Miles €</t>
  </si>
  <si>
    <t xml:space="preserve">% de ventas</t>
  </si>
  <si>
    <t xml:space="preserve">Ingresos marca propia</t>
  </si>
  <si>
    <t xml:space="preserve">Ingresos calidad superior</t>
  </si>
  <si>
    <t xml:space="preserve">Ingresos totales</t>
  </si>
  <si>
    <t xml:space="preserve">Costo de mercadería vendida (incluye depreciación)</t>
  </si>
  <si>
    <t xml:space="preserve">Margen bruto</t>
  </si>
  <si>
    <t xml:space="preserve">Gastos de marketing</t>
  </si>
  <si>
    <t xml:space="preserve">Gastos de I+D</t>
  </si>
  <si>
    <t xml:space="preserve">Gastos de venta</t>
  </si>
  <si>
    <t xml:space="preserve">Gastos administrativos</t>
  </si>
  <si>
    <t xml:space="preserve">Utilidad operativa (EBIT)</t>
  </si>
  <si>
    <t xml:space="preserve">Gastos de intereses</t>
  </si>
  <si>
    <t xml:space="preserve">Utilidad antes de impuestos</t>
  </si>
  <si>
    <t xml:space="preserve">Impuestos</t>
  </si>
  <si>
    <t xml:space="preserve">Utilidad neta</t>
  </si>
  <si>
    <t xml:space="preserve">Depreciación (dentro del CMV)</t>
  </si>
  <si>
    <t xml:space="preserve">EBITDA</t>
  </si>
  <si>
    <t xml:space="preserve">Balance al 31-dic-2019</t>
  </si>
  <si>
    <t xml:space="preserve">% del activo</t>
  </si>
  <si>
    <t xml:space="preserve">Activo corriente</t>
  </si>
  <si>
    <t xml:space="preserve">Bienes de uso (bruto)</t>
  </si>
  <si>
    <t xml:space="preserve">Bienes de uso netos</t>
  </si>
  <si>
    <t xml:space="preserve">Total activos</t>
  </si>
  <si>
    <t xml:space="preserve">Pasivo corriente</t>
  </si>
  <si>
    <t xml:space="preserve">Total pasivos</t>
  </si>
  <si>
    <t xml:space="preserve">Patrimonio neto</t>
  </si>
  <si>
    <t xml:space="preserve">Total pasivos y patrimonio</t>
  </si>
  <si>
    <t xml:space="preserve">Nota: el total del activo suma 35.515 (el PDF del caso muestra 33.515 por error de tipeo; el patrimonio de 7.127 cuadra con 35.515).</t>
  </si>
  <si>
    <t xml:space="preserve">Indicadores clave 2019</t>
  </si>
  <si>
    <t xml:space="preserve">Indicador</t>
  </si>
  <si>
    <t xml:space="preserve">Lectura</t>
  </si>
  <si>
    <t xml:space="preserve">Rentabilidad</t>
  </si>
  <si>
    <t xml:space="preserve">Holgado por el peso de calidad superior</t>
  </si>
  <si>
    <t xml:space="preserve">Margen operativo (EBIT / ventas)</t>
  </si>
  <si>
    <t xml:space="preserve">Margen neto</t>
  </si>
  <si>
    <t xml:space="preserve">Muy bajo: los intereses se comen más de la mitad del EBIT</t>
  </si>
  <si>
    <t xml:space="preserve">Intereses / EBIT</t>
  </si>
  <si>
    <t xml:space="preserve">Cobertura de intereses (EBIT / intereses)</t>
  </si>
  <si>
    <t xml:space="preserve">Menos de 2x: zona de riesgo</t>
  </si>
  <si>
    <t xml:space="preserve">Rotación de activos (ventas / activos)</t>
  </si>
  <si>
    <t xml:space="preserve">Multiplicador de capital (activos / patrimonio)</t>
  </si>
  <si>
    <t xml:space="preserve">Apalancamiento muy alto</t>
  </si>
  <si>
    <t xml:space="preserve">ROA (utilidad neta / activos)</t>
  </si>
  <si>
    <t xml:space="preserve">ROE (utilidad neta / patrimonio)</t>
  </si>
  <si>
    <t xml:space="preserve">Alto, pero explicado por el apalancamiento</t>
  </si>
  <si>
    <t xml:space="preserve">ROE por DuPont (margen × rotación × multiplicador)</t>
  </si>
  <si>
    <t xml:space="preserve">Comprobación</t>
  </si>
  <si>
    <t xml:space="preserve">Descomposición del ROE por apalancamiento</t>
  </si>
  <si>
    <t xml:space="preserve">RONA después de impuestos = EBIT(1–t) / (deuda + patrimonio)</t>
  </si>
  <si>
    <t xml:space="preserve">Rentabilidad operativa sin efecto de la deuda</t>
  </si>
  <si>
    <t xml:space="preserve">Costo de la deuda después de impuestos</t>
  </si>
  <si>
    <t xml:space="preserve">Tasa implícita antes de impuestos ≈ intereses / deuda</t>
  </si>
  <si>
    <t xml:space="preserve">Deuda financiera / patrimonio</t>
  </si>
  <si>
    <t xml:space="preserve">ROE = RONA + (RONA – kd(1–t)) × D/E</t>
  </si>
  <si>
    <t xml:space="preserve">Casi 12 de los 22 puntos del ROE vienen de la deuda</t>
  </si>
  <si>
    <t xml:space="preserve">ROE si no hubiera deuda (= RONA)</t>
  </si>
  <si>
    <t xml:space="preserve">Capital de trabajo y liquidez</t>
  </si>
  <si>
    <t xml:space="preserve">Días de cobro (CxC / ventas × 365)</t>
  </si>
  <si>
    <t xml:space="preserve">Promedio; marca propia paga a 90 días</t>
  </si>
  <si>
    <t xml:space="preserve">Días de inventario MP (sobre CMV sin depreciación)</t>
  </si>
  <si>
    <t xml:space="preserve">Días de bienes terminados</t>
  </si>
  <si>
    <t xml:space="preserve">Días de pago (CxP / CMV sin depreciación × 365)</t>
  </si>
  <si>
    <t xml:space="preserve">Casi no hay crédito de proveedores</t>
  </si>
  <si>
    <t xml:space="preserve">Ciclo de conversión de efectivo (días)</t>
  </si>
  <si>
    <t xml:space="preserve">Capital de trabajo operativo (inventarios + CxC – CxP)</t>
  </si>
  <si>
    <t xml:space="preserve">Capital de trabajo operativo / ventas</t>
  </si>
  <si>
    <t xml:space="preserve">Cada € de venta adicional exige ~0,25 € de capital</t>
  </si>
  <si>
    <t xml:space="preserve">Razón corriente (activo corriente / pasivo corriente)</t>
  </si>
  <si>
    <t xml:space="preserve">Menor que 1</t>
  </si>
  <si>
    <t xml:space="preserve">Prueba ácida ((caja + CxC) / pasivo corriente)</t>
  </si>
  <si>
    <t xml:space="preserve">Línea de crédito disponible</t>
  </si>
  <si>
    <t xml:space="preserve">Totalmente utilizada</t>
  </si>
  <si>
    <t xml:space="preserve">Deuda total / EBITDA</t>
  </si>
  <si>
    <t xml:space="preserve">Lote desocupado / total activos</t>
  </si>
  <si>
    <t xml:space="preserve">Activo improductivo financiado con deuda</t>
  </si>
  <si>
    <t xml:space="preserve">Comprobación de CxC con la estacionalidad (Anexo 4)</t>
  </si>
  <si>
    <t xml:space="preserve">CxC estimada: calidad superior (diciembre)</t>
  </si>
  <si>
    <t xml:space="preserve">CxC estimada: marca propia (oct + nov + dic)</t>
  </si>
  <si>
    <t xml:space="preserve">CxC estimada total vs. CxC del balance</t>
  </si>
  <si>
    <t xml:space="preserve">Coincide razonablemente con 7.449</t>
  </si>
  <si>
    <t xml:space="preserve">Precios y márgenes unitarios 2019</t>
  </si>
  <si>
    <t xml:space="preserve">Precio promedio marca propia (€/kg)</t>
  </si>
  <si>
    <t xml:space="preserve">Contra 7,00 €/kg en 2020</t>
  </si>
  <si>
    <t xml:space="preserve">Precio promedio calidad superior (€/kg)</t>
  </si>
  <si>
    <t xml:space="preserve">Entre las calidades A y AA</t>
  </si>
  <si>
    <t xml:space="preserve">Ventas totales 2019 (kg)</t>
  </si>
  <si>
    <t xml:space="preserve">Uso de la capacidad 2019 (350.000 kg/mes)</t>
  </si>
  <si>
    <t xml:space="preserve">Capacidad ociosa antes de la ampliación</t>
  </si>
  <si>
    <t xml:space="preserve">Uso de la capacidad 2020 con el mismo volumen</t>
  </si>
  <si>
    <t xml:space="preserve">Mini estado de resultados por alternativa de mix: (p – cv)·q – CF – %M·p·q</t>
  </si>
  <si>
    <t xml:space="preserve">Miles de €. Capacidad = 6.000.000 kg; la capacidad no usada por calidad superior se llena con marca propia a 7 €/kg (demanda garantizada a plena capacidad).</t>
  </si>
  <si>
    <t xml:space="preserve">Capacidad anual (kg)</t>
  </si>
  <si>
    <t xml:space="preserve">Precio marca propia (€/kg)</t>
  </si>
  <si>
    <t xml:space="preserve">Costo variable marca propia (€/kg)</t>
  </si>
  <si>
    <t xml:space="preserve">Costos fijos solo marca propia</t>
  </si>
  <si>
    <t xml:space="preserve">Costos fijos con calidad superior (incluyen los de marca propia)</t>
  </si>
  <si>
    <t xml:space="preserve">Resultado solo marca propia (D) a plena capacidad</t>
  </si>
  <si>
    <t xml:space="preserve">Tabla A – Resultado vendiendo SOLO calidad superior (miles €)</t>
  </si>
  <si>
    <t xml:space="preserve">Calidad</t>
  </si>
  <si>
    <t xml:space="preserve">Precio (€/kg)</t>
  </si>
  <si>
    <t xml:space="preserve">Costo variable (€/kg)</t>
  </si>
  <si>
    <t xml:space="preserve">% marketing / ventas ↓</t>
  </si>
  <si>
    <t xml:space="preserve">Tabla B – Capacidad ociosa si se vende SOLO calidad superior (% de 6.000.000 kg)</t>
  </si>
  <si>
    <t xml:space="preserve">Tabla C – Resultado del MIX: calidad superior + marca propia en la capacidad restante (miles €)</t>
  </si>
  <si>
    <t xml:space="preserve">Resumen – mejor combinación por calidad</t>
  </si>
  <si>
    <t xml:space="preserve">Mejor resultado del MIX (miles €)</t>
  </si>
  <si>
    <t xml:space="preserve">% marketing óptimo en el MIX</t>
  </si>
  <si>
    <t xml:space="preserve">Kilos de calidad superior</t>
  </si>
  <si>
    <t xml:space="preserve">Kilos de marca propia</t>
  </si>
  <si>
    <t xml:space="preserve">Mejor resultado SOLO calidad superior (miles €)</t>
  </si>
  <si>
    <t xml:space="preserve">% marketing óptimo SOLO calidad superior</t>
  </si>
  <si>
    <t xml:space="preserve">Kilos SOLO calidad superior</t>
  </si>
  <si>
    <t xml:space="preserve">Capacidad ociosa SOLO calidad superior</t>
  </si>
  <si>
    <t xml:space="preserve">Mejora del MIX vs. solo marca propia (miles €)</t>
  </si>
  <si>
    <t xml:space="preserve">MIX ÓPTIMO (máximo de la Tabla C)</t>
  </si>
  <si>
    <t xml:space="preserve">Resultado máximo (miles €)</t>
  </si>
  <si>
    <t xml:space="preserve">Calidad de alta gama elegida</t>
  </si>
  <si>
    <t xml:space="preserve">% de marketing / ventas</t>
  </si>
  <si>
    <t xml:space="preserve">Precio calidad superior (€/kg)</t>
  </si>
  <si>
    <t xml:space="preserve">Costo variable calidad superior (€/kg)</t>
  </si>
  <si>
    <t xml:space="preserve">Peso de calidad superior en el volumen</t>
  </si>
  <si>
    <t xml:space="preserve">Mini estados de resultados comparativos (miles €)</t>
  </si>
  <si>
    <t xml:space="preserve">Solo marca propia</t>
  </si>
  <si>
    <t xml:space="preserve">Solo AAA (mejor %M)</t>
  </si>
  <si>
    <t xml:space="preserve">Solo calidad superior (mejor)</t>
  </si>
  <si>
    <t xml:space="preserve">MIX óptimo</t>
  </si>
  <si>
    <t xml:space="preserve">Calidad superior: kilos</t>
  </si>
  <si>
    <t xml:space="preserve">Calidad superior: precio (€/kg)</t>
  </si>
  <si>
    <t xml:space="preserve">Calidad superior: costo variable (€/kg)</t>
  </si>
  <si>
    <t xml:space="preserve">% marketing / ventas</t>
  </si>
  <si>
    <t xml:space="preserve">Marca propia: kilos</t>
  </si>
  <si>
    <t xml:space="preserve">Ventas calidad superior</t>
  </si>
  <si>
    <t xml:space="preserve">Ventas marca propia</t>
  </si>
  <si>
    <t xml:space="preserve">Ventas totales</t>
  </si>
  <si>
    <t xml:space="preserve">Costos variables</t>
  </si>
  <si>
    <t xml:space="preserve">Margen bruto de contribución (p – cv)·q</t>
  </si>
  <si>
    <t xml:space="preserve">Costos fijos de manufactura</t>
  </si>
  <si>
    <t xml:space="preserve">Publicidad y ventas (%M·p·q)</t>
  </si>
  <si>
    <t xml:space="preserve">Resultado</t>
  </si>
  <si>
    <t xml:space="preserve">Capacidad utilizada</t>
  </si>
  <si>
    <t xml:space="preserve">Depreciación incremental de la ampliación</t>
  </si>
  <si>
    <t xml:space="preserve">I+D, ventas y administración</t>
  </si>
  <si>
    <t xml:space="preserve">Intereses (deuda constante)</t>
  </si>
  <si>
    <t xml:space="preserve">Utilidad neta (40 % de impuestos)</t>
  </si>
  <si>
    <t xml:space="preserve">Solo marca propia aplica los ahorros de Carla en I+D, ventas y administración; las demás columnas mantienen la estructura de 2019 (supuestos de la hoja Supuestos).</t>
  </si>
  <si>
    <t xml:space="preserve">Supuesto simplificador (enunciado): el mix es marca propia + UNA sola calidad de alta gama. La fila «Resultado» es la fórmula del enunciado; las filas siguientes agregan estructura, depreciación incremental e intereses (ver EEFF_2020).</t>
  </si>
  <si>
    <t xml:space="preserve">Estados financieros proyectados 2020 – comparación de estrategias (miles €)</t>
  </si>
  <si>
    <t xml:space="preserve">Deuda constante (línea de crédito 20.000 + largo plazo 8.000); la caja es la variable de cierre del balance.</t>
  </si>
  <si>
    <t xml:space="preserve">2019 Real</t>
  </si>
  <si>
    <t xml:space="preserve">2020 Solo marca propia</t>
  </si>
  <si>
    <t xml:space="preserve">2020 MIX óptimo</t>
  </si>
  <si>
    <t xml:space="preserve">Comentario</t>
  </si>
  <si>
    <t xml:space="preserve">Supuestos operativos</t>
  </si>
  <si>
    <t xml:space="preserve">Calidad de alta gama</t>
  </si>
  <si>
    <t xml:space="preserve">Mix 2019</t>
  </si>
  <si>
    <t xml:space="preserve">—</t>
  </si>
  <si>
    <t xml:space="preserve">Kilos marca propia</t>
  </si>
  <si>
    <t xml:space="preserve">Kilos calidad superior</t>
  </si>
  <si>
    <t xml:space="preserve">% marketing / ventas de calidad superior</t>
  </si>
  <si>
    <t xml:space="preserve">Costos fijos de manufactura (Anexo 3)</t>
  </si>
  <si>
    <t xml:space="preserve">Uso de la capacidad de 6.000.000 kg</t>
  </si>
  <si>
    <t xml:space="preserve">Estado de resultados</t>
  </si>
  <si>
    <t xml:space="preserve">Costo variable marca propia</t>
  </si>
  <si>
    <t xml:space="preserve">Costo variable calidad superior</t>
  </si>
  <si>
    <t xml:space="preserve">Costos fijos de manufactura (incluyen depreciación base 2.081)</t>
  </si>
  <si>
    <t xml:space="preserve">Depreciación incremental de la ampliación (4.500 / 15)</t>
  </si>
  <si>
    <t xml:space="preserve">Depreciación base adicional (solo si el supuesto = 0)</t>
  </si>
  <si>
    <t xml:space="preserve">Costo de mercadería vendida</t>
  </si>
  <si>
    <t xml:space="preserve">Mix: %M × ventas de calidad superior</t>
  </si>
  <si>
    <t xml:space="preserve">Total gastos operativos</t>
  </si>
  <si>
    <t xml:space="preserve">Deuda constante × tasa implícita 2019</t>
  </si>
  <si>
    <t xml:space="preserve">Impuestos (40 %)</t>
  </si>
  <si>
    <t xml:space="preserve">Memo: depreciación total del año</t>
  </si>
  <si>
    <t xml:space="preserve">Memo: EBITDA</t>
  </si>
  <si>
    <t xml:space="preserve">Balance general al 31 de diciembre</t>
  </si>
  <si>
    <t xml:space="preserve">Caja (variable de cierre)</t>
  </si>
  <si>
    <t xml:space="preserve">Negativa = faltante que habría que financiar</t>
  </si>
  <si>
    <t xml:space="preserve">Rotación 2019 sobre CMV sin depreciación</t>
  </si>
  <si>
    <t xml:space="preserve">Anexo 5: inventario final cero</t>
  </si>
  <si>
    <t xml:space="preserve">Marca propia: oct+nov+dic; calidad superior: dic</t>
  </si>
  <si>
    <t xml:space="preserve">Sin nuevas inversiones; la ampliación ya está en 2019</t>
  </si>
  <si>
    <t xml:space="preserve">9.758 + 2.081 + 300</t>
  </si>
  <si>
    <t xml:space="preserve">2019: activos – pasivos (7.127); 2020: + utilidad – dividendos</t>
  </si>
  <si>
    <t xml:space="preserve">Control: activos – pasivos y patrimonio</t>
  </si>
  <si>
    <t xml:space="preserve">Memo: caja mínima operativa (% de ventas 2019)</t>
  </si>
  <si>
    <t xml:space="preserve">Memo: excedente / (necesidad) de financiamiento</t>
  </si>
  <si>
    <t xml:space="preserve">Negativo = fondos adicionales requeridos con la deuda congelada</t>
  </si>
  <si>
    <t xml:space="preserve">Memo: línea de crédito disponible</t>
  </si>
  <si>
    <t xml:space="preserve">Memo: interés adicional si la necesidad se cubre con deuda (antes de impuestos)</t>
  </si>
  <si>
    <t xml:space="preserve">Memo: utilidad neta ajustada por ese interés adicional</t>
  </si>
  <si>
    <t xml:space="preserve">Estado de flujo de efectivo 2020 (método indirecto)</t>
  </si>
  <si>
    <t xml:space="preserve">(+) Depreciación</t>
  </si>
  <si>
    <t xml:space="preserve">(–) Aumento de cuentas a cobrar</t>
  </si>
  <si>
    <t xml:space="preserve">(–) Aumento de inventario de materia prima</t>
  </si>
  <si>
    <t xml:space="preserve">(–) Aumento de bienes terminados</t>
  </si>
  <si>
    <t xml:space="preserve">(+) Aumento de cuentas a pagar</t>
  </si>
  <si>
    <t xml:space="preserve">Flujo de caja operativo</t>
  </si>
  <si>
    <t xml:space="preserve">(–) Inversiones en bienes de uso</t>
  </si>
  <si>
    <t xml:space="preserve">Flujo de caja de inversión</t>
  </si>
  <si>
    <t xml:space="preserve">(+/–) Variación de deuda</t>
  </si>
  <si>
    <t xml:space="preserve">(–) Dividendos</t>
  </si>
  <si>
    <t xml:space="preserve">Flujo de caja de financiamiento</t>
  </si>
  <si>
    <t xml:space="preserve">Variación neta de caja</t>
  </si>
  <si>
    <t xml:space="preserve">Caja inicial</t>
  </si>
  <si>
    <t xml:space="preserve">Caja final</t>
  </si>
  <si>
    <t xml:space="preserve">Control: caja final – caja del balance</t>
  </si>
  <si>
    <t xml:space="preserve">Indicadores (rueda de ganancias, rueda de caja y rueda del ROE)</t>
  </si>
  <si>
    <t xml:space="preserve">ROE (utilidad neta / patrimonio final)</t>
  </si>
  <si>
    <t xml:space="preserve">ROE sobre patrimonio inicial (7.127)</t>
  </si>
  <si>
    <t xml:space="preserve">Razón corriente</t>
  </si>
  <si>
    <t xml:space="preserve">Deuda financiera / EBITDA</t>
  </si>
  <si>
    <t xml:space="preserve">EBIT por kilo vendido (€/kg)</t>
  </si>
  <si>
    <t xml:space="preserve">Ventas de equilibrio (antes de intereses)</t>
  </si>
  <si>
    <t xml:space="preserve">Ventas de equilibrio (incluyendo intereses)</t>
  </si>
  <si>
    <t xml:space="preserve">Margen de seguridad (ventas sobre equilibrio con intereses)</t>
  </si>
  <si>
    <t xml:space="preserve">¿Se pueden mejorar los indicadores de la estrategia de solo marca propia? (miles €)</t>
  </si>
  <si>
    <t xml:space="preserve">Cada palanca se mide por separado contra el escenario base; la fila final las suma (aproximación: ignora interacciones menores).</t>
  </si>
  <si>
    <t xml:space="preserve">Palancas (celdas amarillas editables)</t>
  </si>
  <si>
    <t xml:space="preserve">Meses de cobro negociados con los minoristas (base = 3)</t>
  </si>
  <si>
    <t xml:space="preserve">Aumento de precio negociado (€/kg)</t>
  </si>
  <si>
    <t xml:space="preserve">Venta del lote desocupado a valor libro, aplicada a reducir la línea de crédito</t>
  </si>
  <si>
    <t xml:space="preserve">Días de pago a proveedores (base ≈ 6 días)</t>
  </si>
  <si>
    <t xml:space="preserve">Reducción del inventario de materia prima</t>
  </si>
  <si>
    <t xml:space="preserve">Base: 2020 solo marca propia</t>
  </si>
  <si>
    <t xml:space="preserve">Patrimonio final</t>
  </si>
  <si>
    <t xml:space="preserve">Excedente / (necesidad) de financiamiento</t>
  </si>
  <si>
    <t xml:space="preserve">Deuda financiera</t>
  </si>
  <si>
    <t xml:space="preserve">Efecto de cada palanca</t>
  </si>
  <si>
    <t xml:space="preserve">Palanca</t>
  </si>
  <si>
    <t xml:space="preserve">Δ Utilidad neta</t>
  </si>
  <si>
    <t xml:space="preserve">Δ Caja (+ libera / – consume)</t>
  </si>
  <si>
    <t xml:space="preserve">Δ Deuda</t>
  </si>
  <si>
    <t xml:space="preserve">Utilidad neta resultante</t>
  </si>
  <si>
    <t xml:space="preserve">Excedente / (necesidad) de financiamiento resultante</t>
  </si>
  <si>
    <t xml:space="preserve">ROE resultante</t>
  </si>
  <si>
    <t xml:space="preserve">Venta del lote y reducción de deuda</t>
  </si>
  <si>
    <t xml:space="preserve">Alargar el pago a proveedores</t>
  </si>
  <si>
    <t xml:space="preserve">Reducir inventario de materia prima</t>
  </si>
  <si>
    <t xml:space="preserve">Todas las palancas juntas</t>
  </si>
  <si>
    <t xml:space="preserve">Referencias</t>
  </si>
  <si>
    <t xml:space="preserve">Utilidad neta 2019</t>
  </si>
  <si>
    <t xml:space="preserve">Utilidad neta 2020 – MIX óptimo</t>
  </si>
  <si>
    <t xml:space="preserve">Deuda / patrimonio con todas las palancas</t>
  </si>
  <si>
    <t xml:space="preserve">Lectura: las palancas de capital de trabajo reducen la necesidad de caja, pero la utilidad de la estrategia sigue muy por debajo de 2019 y del mix; el problema de fondo es el bajo margen unitario (1,75 €/kg).</t>
  </si>
  <si>
    <t xml:space="preserve">Plan mensual 2020: ventas, producción, inventario y composición de las cuentas a cobrar</t>
  </si>
  <si>
    <t xml:space="preserve">Escenario solo marca propia replica el Anexo 5; en el mix la calidad superior no se almacena (se produce al ritmo de la venta) y la marca propia usa la capacidad restante.</t>
  </si>
  <si>
    <t xml:space="preserve">% ventas</t>
  </si>
  <si>
    <t xml:space="preserve">Capacidad (kg)</t>
  </si>
  <si>
    <t xml:space="preserve">MP: ventas (kg)</t>
  </si>
  <si>
    <t xml:space="preserve">MP: producción (kg)</t>
  </si>
  <si>
    <t xml:space="preserve">MP: inventario final (kg)</t>
  </si>
  <si>
    <t xml:space="preserve">MP: ventas (miles €)</t>
  </si>
  <si>
    <t xml:space="preserve">MIX: calidad sup. (kg)</t>
  </si>
  <si>
    <t xml:space="preserve">MIX: marca propia (kg)</t>
  </si>
  <si>
    <t xml:space="preserve">MIX: capacidad libre p/ MP (kg)</t>
  </si>
  <si>
    <t xml:space="preserve">MIX: producción MP (kg)</t>
  </si>
  <si>
    <t xml:space="preserve">MIX: inventario MP (kg)</t>
  </si>
  <si>
    <t xml:space="preserve">MIX: ventas (miles €)</t>
  </si>
  <si>
    <t xml:space="preserve">Inventario inicial</t>
  </si>
  <si>
    <t xml:space="preserve">Control MP: inicial + producción – ventas – final (debe ser 0)</t>
  </si>
  <si>
    <t xml:space="preserve">Control MIX: inicial + producción MP – ventas MP – final (debe ser 0)</t>
  </si>
  <si>
    <t xml:space="preserve">Control MIX: meses en que la calidad superior excede la capacidad (debe ser 0)</t>
  </si>
  <si>
    <t xml:space="preserve">Composición de las cuentas a cobrar al 31-dic-2020 (miles €)</t>
  </si>
  <si>
    <t xml:space="preserve">Solo MP</t>
  </si>
  <si>
    <t xml:space="preserve">MIX: calidad sup.</t>
  </si>
  <si>
    <t xml:space="preserve">MIX: marca propia</t>
  </si>
  <si>
    <t xml:space="preserve">MIX: total</t>
  </si>
  <si>
    <t xml:space="preserve">Total CxC</t>
  </si>
  <si>
    <t xml:space="preserve">Comparación: CxC al 31-dic-2019</t>
  </si>
  <si>
    <t xml:space="preserve">Nota: con 3 meses de cobro, la CxC solo de marca propia equivale al 37,2 % de las ventas anuales (oct 13,1 % + nov 12,1 % + dic 12,0 %), no a 90/365 = 24,7 %, porque las ventas no son estacionarias.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</si>
</sst>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0;\(#,##0.0\);\-"/>
    <numFmt numFmtId="166" formatCode="#,##0;\(#,##0\);\-"/>
    <numFmt numFmtId="167" formatCode="0.0%;\(0.0%\);\-"/>
    <numFmt numFmtId="168" formatCode="0"/>
    <numFmt numFmtId="169" formatCode="#,##0.00;\(#,##0.00\);\-"/>
    <numFmt numFmtId="170" formatCode="0.00\x;\(0.00&quot;x)&quot;;\-"/>
    <numFmt numFmtId="171" formatCode="0.0;\(0.0\);\-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2"/>
    </font>
    <font>
      <b val="true"/>
      <i val="true"/>
      <sz val="10"/>
      <color rgb="FF000000"/>
      <name val="Arial"/>
      <family val="0"/>
      <charset val="1"/>
    </font>
    <font>
      <b val="true"/>
      <sz val="10"/>
      <color rgb="FF008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theme="1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E2EFDA"/>
        <bgColor rgb="FFD9E1F2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808080"/>
      </bottom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b val="1"/>
      </font>
      <fill>
        <patternFill>
          <bgColor rgb="FFE2EFDA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595959"/>
      <rgbColor rgb="FF878787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Mejor resultado por calidad (miles €)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"MIX con marca propia"</c:f>
              <c:strCache>
                <c:ptCount val="1"/>
                <c:pt idx="0">
                  <c:v>MIX con marca propia</c:v>
                </c:pt>
              </c:strCache>
            </c:strRef>
          </c:tx>
          <c:spPr>
            <a:solidFill>
              <a:srgbClr val="2a78d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Mix_Produccion!$C$65:$H$65</c:f>
              <c:multiLvlStrCache>
                <c:ptCount val="1"/>
                <c:lvl>
                  <c:pt idx="0">
                    <c:v>AAA</c:v>
                  </c:pt>
                </c:lvl>
                <c:lvl>
                  <c:pt idx="0">
                    <c:v>AA</c:v>
                  </c:pt>
                </c:lvl>
                <c:lvl>
                  <c:pt idx="0">
                    <c:v>A</c:v>
                  </c:pt>
                </c:lvl>
                <c:lvl>
                  <c:pt idx="0">
                    <c:v>BB</c:v>
                  </c:pt>
                </c:lvl>
                <c:lvl>
                  <c:pt idx="0">
                    <c:v>B</c:v>
                  </c:pt>
                </c:lvl>
                <c:lvl>
                  <c:pt idx="0">
                    <c:v>C</c:v>
                  </c:pt>
                </c:lvl>
              </c:multiLvlStrCache>
            </c:multiLvlStrRef>
          </c:cat>
          <c:val>
            <c:numRef>
              <c:f>Mix_Produccion!$C$66:$H$66</c:f>
              <c:numCache>
                <c:formatCode>#,##0;\(#,##0\);\-</c:formatCode>
                <c:ptCount val="6"/>
                <c:pt idx="0">
                  <c:v>16386.9</c:v>
                </c:pt>
                <c:pt idx="1">
                  <c:v>22931.21</c:v>
                </c:pt>
                <c:pt idx="2">
                  <c:v>24170.45</c:v>
                </c:pt>
                <c:pt idx="3">
                  <c:v>25408.88</c:v>
                </c:pt>
                <c:pt idx="4">
                  <c:v>23996.95</c:v>
                </c:pt>
                <c:pt idx="5">
                  <c:v>19009.65</c:v>
                </c:pt>
              </c:numCache>
            </c:numRef>
          </c:val>
        </c:ser>
        <c:ser>
          <c:idx val="1"/>
          <c:order val="1"/>
          <c:tx>
            <c:strRef>
              <c:f>"Solo calidad superior"</c:f>
              <c:strCache>
                <c:ptCount val="1"/>
                <c:pt idx="0">
                  <c:v>Solo calidad superior</c:v>
                </c:pt>
              </c:strCache>
            </c:strRef>
          </c:tx>
          <c:spPr>
            <a:solidFill>
              <a:srgbClr val="eb6834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Mix_Produccion!$C$65:$H$65</c:f>
              <c:multiLvlStrCache>
                <c:ptCount val="1"/>
                <c:lvl>
                  <c:pt idx="0">
                    <c:v>AAA</c:v>
                  </c:pt>
                </c:lvl>
                <c:lvl>
                  <c:pt idx="0">
                    <c:v>AA</c:v>
                  </c:pt>
                </c:lvl>
                <c:lvl>
                  <c:pt idx="0">
                    <c:v>A</c:v>
                  </c:pt>
                </c:lvl>
                <c:lvl>
                  <c:pt idx="0">
                    <c:v>BB</c:v>
                  </c:pt>
                </c:lvl>
                <c:lvl>
                  <c:pt idx="0">
                    <c:v>B</c:v>
                  </c:pt>
                </c:lvl>
                <c:lvl>
                  <c:pt idx="0">
                    <c:v>C</c:v>
                  </c:pt>
                </c:lvl>
              </c:multiLvlStrCache>
            </c:multiLvlStrRef>
          </c:cat>
          <c:val>
            <c:numRef>
              <c:f>Mix_Produccion!$C$70:$H$70</c:f>
              <c:numCache>
                <c:formatCode>#,##0;\(#,##0\);\-</c:formatCode>
                <c:ptCount val="6"/>
                <c:pt idx="0">
                  <c:v>11261.2</c:v>
                </c:pt>
                <c:pt idx="1">
                  <c:v>16573.46</c:v>
                </c:pt>
                <c:pt idx="2">
                  <c:v>17445.2</c:v>
                </c:pt>
                <c:pt idx="3">
                  <c:v>18044.88</c:v>
                </c:pt>
                <c:pt idx="4">
                  <c:v>16113.2</c:v>
                </c:pt>
                <c:pt idx="5">
                  <c:v>10145.9</c:v>
                </c:pt>
              </c:numCache>
            </c:numRef>
          </c:val>
        </c:ser>
        <c:gapWidth val="150"/>
        <c:overlap val="0"/>
        <c:axId val="80661271"/>
        <c:axId val="36870091"/>
      </c:barChart>
      <c:catAx>
        <c:axId val="80661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6870091"/>
        <c:crosses val="autoZero"/>
        <c:auto val="1"/>
        <c:lblAlgn val="ctr"/>
        <c:lblOffset val="100"/>
        <c:noMultiLvlLbl val="0"/>
      </c:catAx>
      <c:valAx>
        <c:axId val="368700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Miles €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66127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62</xdr:row>
      <xdr:rowOff>176040</xdr:rowOff>
    </xdr:from>
    <xdr:to>
      <xdr:col>18</xdr:col>
      <xdr:colOff>256320</xdr:colOff>
      <xdr:row>78</xdr:row>
      <xdr:rowOff>7560</xdr:rowOff>
    </xdr:to>
    <xdr:graphicFrame>
      <xdr:nvGraphicFramePr>
        <xdr:cNvPr id="0" name="Chart 1"/>
        <xdr:cNvGraphicFramePr/>
      </xdr:nvGraphicFramePr>
      <xdr:xfrm>
        <a:off x="11748240" y="1200168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7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4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88"/>
  </cols>
  <sheetData>
    <row r="1" customFormat="false" ht="16.15" hidden="false" customHeight="false" outlineLevel="0" collapsed="false">
      <c r="A1" s="1" t="s">
        <v>0</v>
      </c>
      <c r="B1" s="2"/>
      <c r="C1" s="2"/>
      <c r="D1" s="2"/>
    </row>
    <row r="2" customFormat="false" ht="15" hidden="false" customHeight="false" outlineLevel="0" collapsed="false">
      <c r="A2" s="3" t="s">
        <v>1</v>
      </c>
    </row>
    <row r="3" customFormat="false" ht="15" hidden="false" customHeight="false" outlineLevel="0" collapsed="false">
      <c r="A3" s="4" t="s">
        <v>2</v>
      </c>
      <c r="B3" s="4" t="s">
        <v>3</v>
      </c>
      <c r="C3" s="4" t="s">
        <v>4</v>
      </c>
      <c r="D3" s="4" t="s">
        <v>5</v>
      </c>
    </row>
    <row r="5" customFormat="false" ht="15" hidden="false" customHeight="false" outlineLevel="0" collapsed="false">
      <c r="A5" s="5" t="s">
        <v>6</v>
      </c>
      <c r="B5" s="6"/>
      <c r="C5" s="6"/>
      <c r="D5" s="6"/>
    </row>
    <row r="6" customFormat="false" ht="15" hidden="false" customHeight="false" outlineLevel="0" collapsed="false">
      <c r="A6" s="7" t="s">
        <v>7</v>
      </c>
      <c r="B6" s="8" t="n">
        <v>7902.72</v>
      </c>
      <c r="C6" s="7" t="s">
        <v>8</v>
      </c>
      <c r="D6" s="3" t="s">
        <v>9</v>
      </c>
    </row>
    <row r="7" customFormat="false" ht="15" hidden="false" customHeight="false" outlineLevel="0" collapsed="false">
      <c r="A7" s="7" t="s">
        <v>10</v>
      </c>
      <c r="B7" s="8" t="n">
        <v>36705.24</v>
      </c>
      <c r="C7" s="7" t="s">
        <v>8</v>
      </c>
      <c r="D7" s="3" t="s">
        <v>9</v>
      </c>
    </row>
    <row r="8" customFormat="false" ht="15" hidden="false" customHeight="false" outlineLevel="0" collapsed="false">
      <c r="A8" s="7" t="s">
        <v>11</v>
      </c>
      <c r="B8" s="9" t="n">
        <v>26421</v>
      </c>
      <c r="C8" s="7" t="s">
        <v>8</v>
      </c>
      <c r="D8" s="3" t="s">
        <v>12</v>
      </c>
    </row>
    <row r="9" customFormat="false" ht="15" hidden="false" customHeight="false" outlineLevel="0" collapsed="false">
      <c r="A9" s="7" t="s">
        <v>13</v>
      </c>
      <c r="B9" s="9" t="n">
        <v>2081</v>
      </c>
      <c r="C9" s="7" t="s">
        <v>8</v>
      </c>
      <c r="D9" s="3" t="s">
        <v>14</v>
      </c>
    </row>
    <row r="10" customFormat="false" ht="15" hidden="false" customHeight="false" outlineLevel="0" collapsed="false">
      <c r="A10" s="7" t="s">
        <v>15</v>
      </c>
      <c r="B10" s="9" t="n">
        <v>3303</v>
      </c>
      <c r="C10" s="7" t="s">
        <v>8</v>
      </c>
      <c r="D10" s="3" t="s">
        <v>9</v>
      </c>
    </row>
    <row r="11" customFormat="false" ht="15" hidden="false" customHeight="false" outlineLevel="0" collapsed="false">
      <c r="A11" s="7" t="s">
        <v>16</v>
      </c>
      <c r="B11" s="9" t="n">
        <v>2647</v>
      </c>
      <c r="C11" s="7" t="s">
        <v>8</v>
      </c>
      <c r="D11" s="3" t="s">
        <v>9</v>
      </c>
    </row>
    <row r="12" customFormat="false" ht="15" hidden="false" customHeight="false" outlineLevel="0" collapsed="false">
      <c r="A12" s="7" t="s">
        <v>17</v>
      </c>
      <c r="B12" s="9" t="n">
        <v>2844</v>
      </c>
      <c r="C12" s="7" t="s">
        <v>8</v>
      </c>
      <c r="D12" s="3" t="s">
        <v>9</v>
      </c>
    </row>
    <row r="13" customFormat="false" ht="15" hidden="false" customHeight="false" outlineLevel="0" collapsed="false">
      <c r="A13" s="7" t="s">
        <v>18</v>
      </c>
      <c r="B13" s="9" t="n">
        <v>3781</v>
      </c>
      <c r="C13" s="7" t="s">
        <v>8</v>
      </c>
      <c r="D13" s="3" t="s">
        <v>9</v>
      </c>
    </row>
    <row r="14" customFormat="false" ht="15" hidden="false" customHeight="false" outlineLevel="0" collapsed="false">
      <c r="A14" s="7" t="s">
        <v>19</v>
      </c>
      <c r="B14" s="9" t="n">
        <v>3043</v>
      </c>
      <c r="C14" s="7" t="s">
        <v>8</v>
      </c>
      <c r="D14" s="3" t="s">
        <v>9</v>
      </c>
    </row>
    <row r="15" customFormat="false" ht="15" hidden="false" customHeight="false" outlineLevel="0" collapsed="false">
      <c r="A15" s="7" t="s">
        <v>20</v>
      </c>
      <c r="B15" s="10" t="n">
        <v>0.4</v>
      </c>
      <c r="C15" s="7" t="s">
        <v>21</v>
      </c>
      <c r="D15" s="3" t="s">
        <v>9</v>
      </c>
    </row>
    <row r="17" customFormat="false" ht="15" hidden="false" customHeight="false" outlineLevel="0" collapsed="false">
      <c r="A17" s="5" t="s">
        <v>22</v>
      </c>
      <c r="B17" s="6"/>
      <c r="C17" s="6"/>
      <c r="D17" s="6"/>
    </row>
    <row r="18" customFormat="false" ht="15" hidden="false" customHeight="false" outlineLevel="0" collapsed="false">
      <c r="A18" s="7" t="s">
        <v>23</v>
      </c>
      <c r="B18" s="9" t="n">
        <v>892</v>
      </c>
      <c r="C18" s="7" t="s">
        <v>8</v>
      </c>
      <c r="D18" s="3" t="s">
        <v>9</v>
      </c>
    </row>
    <row r="19" customFormat="false" ht="15" hidden="false" customHeight="false" outlineLevel="0" collapsed="false">
      <c r="A19" s="7" t="s">
        <v>24</v>
      </c>
      <c r="B19" s="9" t="n">
        <v>2313</v>
      </c>
      <c r="C19" s="7" t="s">
        <v>8</v>
      </c>
      <c r="D19" s="3" t="s">
        <v>9</v>
      </c>
    </row>
    <row r="20" customFormat="false" ht="15" hidden="false" customHeight="false" outlineLevel="0" collapsed="false">
      <c r="A20" s="7" t="s">
        <v>25</v>
      </c>
      <c r="B20" s="9" t="n">
        <v>913</v>
      </c>
      <c r="C20" s="7" t="s">
        <v>8</v>
      </c>
      <c r="D20" s="3" t="s">
        <v>9</v>
      </c>
    </row>
    <row r="21" customFormat="false" ht="15" hidden="false" customHeight="false" outlineLevel="0" collapsed="false">
      <c r="A21" s="7" t="s">
        <v>26</v>
      </c>
      <c r="B21" s="9" t="n">
        <v>174000</v>
      </c>
      <c r="C21" s="7" t="s">
        <v>27</v>
      </c>
      <c r="D21" s="3" t="s">
        <v>28</v>
      </c>
    </row>
    <row r="22" customFormat="false" ht="15" hidden="false" customHeight="false" outlineLevel="0" collapsed="false">
      <c r="A22" s="7" t="s">
        <v>29</v>
      </c>
      <c r="B22" s="8" t="n">
        <v>7448.928</v>
      </c>
      <c r="C22" s="7" t="s">
        <v>8</v>
      </c>
      <c r="D22" s="3" t="s">
        <v>9</v>
      </c>
    </row>
    <row r="23" customFormat="false" ht="15" hidden="false" customHeight="false" outlineLevel="0" collapsed="false">
      <c r="A23" s="7" t="s">
        <v>30</v>
      </c>
      <c r="B23" s="9" t="n">
        <v>33706</v>
      </c>
      <c r="C23" s="7" t="s">
        <v>8</v>
      </c>
      <c r="D23" s="3" t="s">
        <v>9</v>
      </c>
    </row>
    <row r="24" customFormat="false" ht="15" hidden="false" customHeight="false" outlineLevel="0" collapsed="false">
      <c r="A24" s="7" t="s">
        <v>31</v>
      </c>
      <c r="B24" s="9" t="n">
        <v>9758</v>
      </c>
      <c r="C24" s="7" t="s">
        <v>8</v>
      </c>
      <c r="D24" s="3" t="s">
        <v>32</v>
      </c>
    </row>
    <row r="25" customFormat="false" ht="15" hidden="false" customHeight="false" outlineLevel="0" collapsed="false">
      <c r="A25" s="7" t="s">
        <v>33</v>
      </c>
      <c r="B25" s="9" t="n">
        <v>10000</v>
      </c>
      <c r="C25" s="7" t="s">
        <v>8</v>
      </c>
      <c r="D25" s="3" t="s">
        <v>34</v>
      </c>
    </row>
    <row r="26" customFormat="false" ht="15" hidden="false" customHeight="false" outlineLevel="0" collapsed="false">
      <c r="A26" s="7" t="s">
        <v>35</v>
      </c>
      <c r="B26" s="9" t="n">
        <v>388</v>
      </c>
      <c r="C26" s="7" t="s">
        <v>8</v>
      </c>
      <c r="D26" s="3" t="s">
        <v>9</v>
      </c>
    </row>
    <row r="27" customFormat="false" ht="15" hidden="false" customHeight="false" outlineLevel="0" collapsed="false">
      <c r="A27" s="7" t="s">
        <v>36</v>
      </c>
      <c r="B27" s="9" t="n">
        <v>20000</v>
      </c>
      <c r="C27" s="7" t="s">
        <v>8</v>
      </c>
      <c r="D27" s="3" t="s">
        <v>9</v>
      </c>
    </row>
    <row r="28" customFormat="false" ht="15" hidden="false" customHeight="false" outlineLevel="0" collapsed="false">
      <c r="A28" s="7" t="s">
        <v>37</v>
      </c>
      <c r="B28" s="9" t="n">
        <v>8000</v>
      </c>
      <c r="C28" s="7" t="s">
        <v>8</v>
      </c>
      <c r="D28" s="3" t="s">
        <v>9</v>
      </c>
    </row>
    <row r="29" customFormat="false" ht="15" hidden="false" customHeight="false" outlineLevel="0" collapsed="false">
      <c r="A29" s="7" t="s">
        <v>38</v>
      </c>
      <c r="B29" s="9" t="n">
        <v>20000</v>
      </c>
      <c r="C29" s="7" t="s">
        <v>8</v>
      </c>
      <c r="D29" s="3" t="s">
        <v>39</v>
      </c>
    </row>
    <row r="31" customFormat="false" ht="15" hidden="false" customHeight="false" outlineLevel="0" collapsed="false">
      <c r="A31" s="5" t="s">
        <v>40</v>
      </c>
      <c r="B31" s="6"/>
      <c r="C31" s="6"/>
      <c r="D31" s="6"/>
    </row>
    <row r="32" customFormat="false" ht="15" hidden="false" customHeight="false" outlineLevel="0" collapsed="false">
      <c r="A32" s="7" t="s">
        <v>41</v>
      </c>
      <c r="B32" s="9" t="n">
        <v>1152000</v>
      </c>
      <c r="C32" s="7" t="s">
        <v>27</v>
      </c>
      <c r="D32" s="3" t="s">
        <v>42</v>
      </c>
    </row>
    <row r="33" customFormat="false" ht="15" hidden="false" customHeight="false" outlineLevel="0" collapsed="false">
      <c r="A33" s="7" t="s">
        <v>43</v>
      </c>
      <c r="B33" s="9" t="n">
        <v>1196000</v>
      </c>
      <c r="C33" s="7" t="s">
        <v>27</v>
      </c>
      <c r="D33" s="3" t="s">
        <v>42</v>
      </c>
    </row>
    <row r="35" customFormat="false" ht="15" hidden="false" customHeight="false" outlineLevel="0" collapsed="false">
      <c r="A35" s="5" t="s">
        <v>44</v>
      </c>
      <c r="B35" s="6"/>
      <c r="C35" s="6"/>
      <c r="D35" s="6"/>
    </row>
    <row r="36" customFormat="false" ht="15" hidden="false" customHeight="false" outlineLevel="0" collapsed="false">
      <c r="A36" s="7" t="s">
        <v>45</v>
      </c>
      <c r="B36" s="9" t="n">
        <v>500000</v>
      </c>
      <c r="C36" s="7" t="s">
        <v>46</v>
      </c>
      <c r="D36" s="3" t="s">
        <v>47</v>
      </c>
    </row>
    <row r="37" customFormat="false" ht="15" hidden="false" customHeight="false" outlineLevel="0" collapsed="false">
      <c r="A37" s="7" t="s">
        <v>48</v>
      </c>
      <c r="B37" s="11" t="n">
        <f aca="false">B36*12</f>
        <v>6000000</v>
      </c>
      <c r="C37" s="7" t="s">
        <v>49</v>
      </c>
      <c r="D37" s="3" t="s">
        <v>50</v>
      </c>
    </row>
    <row r="38" customFormat="false" ht="15" hidden="false" customHeight="false" outlineLevel="0" collapsed="false">
      <c r="A38" s="7" t="s">
        <v>51</v>
      </c>
      <c r="B38" s="9" t="n">
        <v>4500</v>
      </c>
      <c r="C38" s="7" t="s">
        <v>8</v>
      </c>
      <c r="D38" s="3" t="s">
        <v>52</v>
      </c>
    </row>
    <row r="39" customFormat="false" ht="15" hidden="false" customHeight="false" outlineLevel="0" collapsed="false">
      <c r="A39" s="7" t="s">
        <v>53</v>
      </c>
      <c r="B39" s="12" t="n">
        <v>15</v>
      </c>
      <c r="C39" s="7" t="s">
        <v>54</v>
      </c>
      <c r="D39" s="3" t="s">
        <v>52</v>
      </c>
    </row>
    <row r="40" customFormat="false" ht="15" hidden="false" customHeight="false" outlineLevel="0" collapsed="false">
      <c r="A40" s="7" t="s">
        <v>55</v>
      </c>
      <c r="B40" s="11" t="n">
        <f aca="false">B38/B39</f>
        <v>300</v>
      </c>
      <c r="C40" s="7" t="s">
        <v>8</v>
      </c>
      <c r="D40" s="3" t="s">
        <v>56</v>
      </c>
    </row>
    <row r="41" customFormat="false" ht="15" hidden="false" customHeight="false" outlineLevel="0" collapsed="false">
      <c r="A41" s="7" t="s">
        <v>57</v>
      </c>
      <c r="B41" s="11" t="n">
        <f aca="false">B9+B40</f>
        <v>2381</v>
      </c>
      <c r="C41" s="7" t="s">
        <v>8</v>
      </c>
      <c r="D41" s="3" t="s">
        <v>58</v>
      </c>
    </row>
    <row r="42" customFormat="false" ht="15" hidden="false" customHeight="false" outlineLevel="0" collapsed="false">
      <c r="A42" s="7" t="s">
        <v>59</v>
      </c>
      <c r="B42" s="13" t="n">
        <v>1</v>
      </c>
      <c r="C42" s="7" t="s">
        <v>60</v>
      </c>
      <c r="D42" s="3" t="s">
        <v>61</v>
      </c>
    </row>
    <row r="44" customFormat="false" ht="15" hidden="false" customHeight="false" outlineLevel="0" collapsed="false">
      <c r="A44" s="5" t="s">
        <v>62</v>
      </c>
      <c r="B44" s="6"/>
      <c r="C44" s="6"/>
      <c r="D44" s="6"/>
    </row>
    <row r="45" customFormat="false" ht="15" hidden="false" customHeight="false" outlineLevel="0" collapsed="false">
      <c r="A45" s="7" t="s">
        <v>63</v>
      </c>
      <c r="B45" s="14" t="n">
        <f aca="false">Anexos!B4</f>
        <v>7</v>
      </c>
      <c r="C45" s="7" t="s">
        <v>64</v>
      </c>
      <c r="D45" s="3" t="s">
        <v>65</v>
      </c>
    </row>
    <row r="46" customFormat="false" ht="15" hidden="false" customHeight="false" outlineLevel="0" collapsed="false">
      <c r="A46" s="7" t="s">
        <v>66</v>
      </c>
      <c r="B46" s="14" t="n">
        <f aca="false">Anexos!B5</f>
        <v>5.25</v>
      </c>
      <c r="C46" s="7" t="s">
        <v>64</v>
      </c>
      <c r="D46" s="3" t="s">
        <v>67</v>
      </c>
    </row>
    <row r="47" customFormat="false" ht="15" hidden="false" customHeight="false" outlineLevel="0" collapsed="false">
      <c r="A47" s="7" t="s">
        <v>68</v>
      </c>
      <c r="B47" s="15" t="n">
        <f aca="false">Anexos!B6</f>
        <v>2641</v>
      </c>
      <c r="C47" s="7" t="s">
        <v>8</v>
      </c>
      <c r="D47" s="3" t="s">
        <v>67</v>
      </c>
    </row>
    <row r="48" customFormat="false" ht="15" hidden="false" customHeight="false" outlineLevel="0" collapsed="false">
      <c r="A48" s="7" t="s">
        <v>69</v>
      </c>
      <c r="B48" s="15" t="n">
        <f aca="false">Anexos!C6</f>
        <v>3262</v>
      </c>
      <c r="C48" s="7" t="s">
        <v>8</v>
      </c>
      <c r="D48" s="3" t="s">
        <v>70</v>
      </c>
    </row>
    <row r="50" customFormat="false" ht="15" hidden="false" customHeight="false" outlineLevel="0" collapsed="false">
      <c r="A50" s="5" t="s">
        <v>71</v>
      </c>
      <c r="B50" s="6"/>
      <c r="C50" s="6"/>
      <c r="D50" s="6"/>
    </row>
    <row r="51" customFormat="false" ht="15" hidden="false" customHeight="false" outlineLevel="0" collapsed="false">
      <c r="A51" s="7" t="s">
        <v>72</v>
      </c>
      <c r="B51" s="10" t="n">
        <v>1</v>
      </c>
      <c r="C51" s="7" t="s">
        <v>21</v>
      </c>
      <c r="D51" s="3" t="s">
        <v>52</v>
      </c>
    </row>
    <row r="52" customFormat="false" ht="15" hidden="false" customHeight="false" outlineLevel="0" collapsed="false">
      <c r="A52" s="7" t="s">
        <v>73</v>
      </c>
      <c r="B52" s="10" t="n">
        <v>0.65</v>
      </c>
      <c r="C52" s="7" t="s">
        <v>21</v>
      </c>
      <c r="D52" s="3" t="s">
        <v>52</v>
      </c>
    </row>
    <row r="53" customFormat="false" ht="15" hidden="false" customHeight="false" outlineLevel="0" collapsed="false">
      <c r="A53" s="7" t="s">
        <v>74</v>
      </c>
      <c r="B53" s="10" t="n">
        <v>0.75</v>
      </c>
      <c r="C53" s="7" t="s">
        <v>21</v>
      </c>
      <c r="D53" s="3" t="s">
        <v>52</v>
      </c>
    </row>
    <row r="54" customFormat="false" ht="15" hidden="false" customHeight="false" outlineLevel="0" collapsed="false">
      <c r="A54" s="7" t="s">
        <v>75</v>
      </c>
      <c r="B54" s="10" t="n">
        <v>0.5</v>
      </c>
      <c r="C54" s="7" t="s">
        <v>21</v>
      </c>
      <c r="D54" s="3" t="s">
        <v>52</v>
      </c>
    </row>
    <row r="56" customFormat="false" ht="15" hidden="false" customHeight="false" outlineLevel="0" collapsed="false">
      <c r="A56" s="5" t="s">
        <v>76</v>
      </c>
      <c r="B56" s="6"/>
      <c r="C56" s="6"/>
      <c r="D56" s="6"/>
    </row>
    <row r="57" customFormat="false" ht="15" hidden="false" customHeight="false" outlineLevel="0" collapsed="false">
      <c r="A57" s="7" t="s">
        <v>77</v>
      </c>
      <c r="B57" s="16" t="n">
        <v>0</v>
      </c>
      <c r="C57" s="7" t="s">
        <v>21</v>
      </c>
      <c r="D57" s="3" t="s">
        <v>78</v>
      </c>
    </row>
    <row r="58" customFormat="false" ht="15" hidden="false" customHeight="false" outlineLevel="0" collapsed="false">
      <c r="A58" s="7" t="s">
        <v>79</v>
      </c>
      <c r="B58" s="16" t="n">
        <v>0</v>
      </c>
      <c r="C58" s="7" t="s">
        <v>21</v>
      </c>
      <c r="D58" s="3" t="s">
        <v>80</v>
      </c>
    </row>
    <row r="59" customFormat="false" ht="15" hidden="false" customHeight="false" outlineLevel="0" collapsed="false">
      <c r="A59" s="7" t="s">
        <v>81</v>
      </c>
      <c r="B59" s="16" t="n">
        <v>0</v>
      </c>
      <c r="C59" s="7" t="s">
        <v>21</v>
      </c>
      <c r="D59" s="3" t="s">
        <v>82</v>
      </c>
    </row>
    <row r="61" customFormat="false" ht="15" hidden="false" customHeight="false" outlineLevel="0" collapsed="false">
      <c r="A61" s="5" t="s">
        <v>83</v>
      </c>
      <c r="B61" s="6"/>
      <c r="C61" s="6"/>
      <c r="D61" s="6"/>
    </row>
    <row r="62" customFormat="false" ht="15" hidden="false" customHeight="false" outlineLevel="0" collapsed="false">
      <c r="A62" s="7" t="s">
        <v>84</v>
      </c>
      <c r="B62" s="13" t="n">
        <v>3</v>
      </c>
      <c r="C62" s="7" t="s">
        <v>85</v>
      </c>
      <c r="D62" s="3" t="s">
        <v>86</v>
      </c>
    </row>
    <row r="63" customFormat="false" ht="15" hidden="false" customHeight="false" outlineLevel="0" collapsed="false">
      <c r="A63" s="7" t="s">
        <v>87</v>
      </c>
      <c r="B63" s="13" t="n">
        <v>1</v>
      </c>
      <c r="C63" s="7" t="s">
        <v>85</v>
      </c>
      <c r="D63" s="3" t="s">
        <v>88</v>
      </c>
    </row>
    <row r="64" customFormat="false" ht="15" hidden="false" customHeight="false" outlineLevel="0" collapsed="false">
      <c r="A64" s="7" t="s">
        <v>89</v>
      </c>
      <c r="B64" s="17" t="n">
        <f aca="true">SUM(OFFSET(Anexos!$B$36,1-B62,0,B62,1))</f>
        <v>0.372</v>
      </c>
      <c r="C64" s="7" t="s">
        <v>21</v>
      </c>
      <c r="D64" s="3" t="s">
        <v>90</v>
      </c>
    </row>
    <row r="65" customFormat="false" ht="15" hidden="false" customHeight="false" outlineLevel="0" collapsed="false">
      <c r="A65" s="7" t="s">
        <v>91</v>
      </c>
      <c r="B65" s="17" t="n">
        <f aca="true">SUM(OFFSET(Anexos!$B$36,1-B63,0,B63,1))</f>
        <v>0.12</v>
      </c>
      <c r="C65" s="7" t="s">
        <v>21</v>
      </c>
      <c r="D65" s="3" t="s">
        <v>90</v>
      </c>
    </row>
    <row r="66" customFormat="false" ht="15" hidden="false" customHeight="false" outlineLevel="0" collapsed="false">
      <c r="A66" s="7" t="s">
        <v>92</v>
      </c>
      <c r="B66" s="18" t="n">
        <f aca="false">(B8-B9)/B19</f>
        <v>10.5231301340251</v>
      </c>
      <c r="C66" s="7" t="s">
        <v>93</v>
      </c>
      <c r="D66" s="3" t="s">
        <v>94</v>
      </c>
    </row>
    <row r="67" customFormat="false" ht="15" hidden="false" customHeight="false" outlineLevel="0" collapsed="false">
      <c r="A67" s="7" t="s">
        <v>95</v>
      </c>
      <c r="B67" s="18" t="n">
        <f aca="false">(B8-B9)/B26</f>
        <v>62.7319587628866</v>
      </c>
      <c r="C67" s="7" t="s">
        <v>93</v>
      </c>
      <c r="D67" s="3" t="s">
        <v>94</v>
      </c>
    </row>
    <row r="68" customFormat="false" ht="15" hidden="false" customHeight="false" outlineLevel="0" collapsed="false">
      <c r="A68" s="7" t="s">
        <v>96</v>
      </c>
      <c r="B68" s="19" t="n">
        <f aca="false">B18/(B6+B7)</f>
        <v>0.0199964311302288</v>
      </c>
      <c r="C68" s="7" t="s">
        <v>21</v>
      </c>
      <c r="D68" s="3" t="s">
        <v>97</v>
      </c>
    </row>
    <row r="69" customFormat="false" ht="15" hidden="false" customHeight="false" outlineLevel="0" collapsed="false">
      <c r="A69" s="7" t="s">
        <v>98</v>
      </c>
      <c r="B69" s="9" t="n">
        <v>0</v>
      </c>
      <c r="C69" s="7" t="s">
        <v>27</v>
      </c>
      <c r="D69" s="3" t="s">
        <v>99</v>
      </c>
    </row>
    <row r="70" customFormat="false" ht="15" hidden="false" customHeight="false" outlineLevel="0" collapsed="false">
      <c r="A70" s="7" t="s">
        <v>100</v>
      </c>
      <c r="B70" s="19" t="n">
        <f aca="false">B14/(B27+B28)</f>
        <v>0.108678571428571</v>
      </c>
      <c r="C70" s="7" t="s">
        <v>21</v>
      </c>
      <c r="D70" s="3" t="s">
        <v>101</v>
      </c>
    </row>
    <row r="71" customFormat="false" ht="15" hidden="false" customHeight="false" outlineLevel="0" collapsed="false">
      <c r="A71" s="7" t="s">
        <v>102</v>
      </c>
      <c r="B71" s="9" t="n">
        <v>0</v>
      </c>
      <c r="C71" s="7" t="s">
        <v>8</v>
      </c>
      <c r="D71" s="3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8" min="2" style="0" width="14"/>
  </cols>
  <sheetData>
    <row r="1" customFormat="false" ht="16.15" hidden="false" customHeight="false" outlineLevel="0" collapsed="false">
      <c r="A1" s="1" t="s">
        <v>104</v>
      </c>
      <c r="B1" s="2"/>
      <c r="C1" s="2"/>
      <c r="D1" s="2"/>
      <c r="E1" s="2"/>
      <c r="F1" s="2"/>
      <c r="G1" s="2"/>
      <c r="H1" s="2"/>
    </row>
    <row r="2" customFormat="false" ht="15" hidden="false" customHeight="false" outlineLevel="0" collapsed="false">
      <c r="A2" s="3" t="s">
        <v>105</v>
      </c>
    </row>
    <row r="3" customFormat="false" ht="15" hidden="false" customHeight="false" outlineLevel="0" collapsed="false">
      <c r="A3" s="4" t="s">
        <v>106</v>
      </c>
      <c r="B3" s="4" t="s">
        <v>107</v>
      </c>
      <c r="C3" s="4" t="s">
        <v>108</v>
      </c>
      <c r="D3" s="4" t="s">
        <v>109</v>
      </c>
      <c r="E3" s="4" t="s">
        <v>110</v>
      </c>
      <c r="F3" s="4" t="s">
        <v>111</v>
      </c>
      <c r="G3" s="4" t="s">
        <v>112</v>
      </c>
      <c r="H3" s="4" t="s">
        <v>113</v>
      </c>
    </row>
    <row r="4" customFormat="false" ht="15" hidden="false" customHeight="false" outlineLevel="0" collapsed="false">
      <c r="A4" s="7" t="s">
        <v>114</v>
      </c>
      <c r="B4" s="20" t="n">
        <v>7</v>
      </c>
      <c r="C4" s="20" t="n">
        <v>15.5</v>
      </c>
      <c r="D4" s="20" t="n">
        <v>21</v>
      </c>
      <c r="E4" s="20" t="n">
        <v>24</v>
      </c>
      <c r="F4" s="20" t="n">
        <v>28</v>
      </c>
      <c r="G4" s="20" t="n">
        <v>31</v>
      </c>
      <c r="H4" s="20" t="n">
        <v>34</v>
      </c>
    </row>
    <row r="5" customFormat="false" ht="15" hidden="false" customHeight="false" outlineLevel="0" collapsed="false">
      <c r="A5" s="7" t="s">
        <v>115</v>
      </c>
      <c r="B5" s="20" t="n">
        <v>5.25</v>
      </c>
      <c r="C5" s="20" t="n">
        <v>9.93</v>
      </c>
      <c r="D5" s="20" t="n">
        <v>11.36</v>
      </c>
      <c r="E5" s="20" t="n">
        <v>12.96</v>
      </c>
      <c r="F5" s="20" t="n">
        <v>14.15</v>
      </c>
      <c r="G5" s="20" t="n">
        <v>15.25</v>
      </c>
      <c r="H5" s="20" t="n">
        <v>16.26</v>
      </c>
    </row>
    <row r="6" customFormat="false" ht="15" hidden="false" customHeight="false" outlineLevel="0" collapsed="false">
      <c r="A6" s="7" t="s">
        <v>116</v>
      </c>
      <c r="B6" s="9" t="n">
        <v>2641</v>
      </c>
      <c r="C6" s="9" t="n">
        <v>3262</v>
      </c>
      <c r="D6" s="9" t="n">
        <v>3262</v>
      </c>
      <c r="E6" s="9" t="n">
        <v>3262</v>
      </c>
      <c r="F6" s="9" t="n">
        <v>3262</v>
      </c>
      <c r="G6" s="9" t="n">
        <v>3262</v>
      </c>
      <c r="H6" s="9" t="n">
        <v>3262</v>
      </c>
    </row>
    <row r="7" customFormat="false" ht="15" hidden="false" customHeight="false" outlineLevel="0" collapsed="false">
      <c r="A7" s="21" t="s">
        <v>117</v>
      </c>
    </row>
    <row r="8" customFormat="false" ht="15" hidden="false" customHeight="false" outlineLevel="0" collapsed="false">
      <c r="A8" s="5" t="s">
        <v>118</v>
      </c>
      <c r="B8" s="6"/>
      <c r="C8" s="6"/>
      <c r="D8" s="6"/>
      <c r="E8" s="6"/>
      <c r="F8" s="6"/>
      <c r="G8" s="6"/>
      <c r="H8" s="6"/>
    </row>
    <row r="9" customFormat="false" ht="15" hidden="false" customHeight="false" outlineLevel="0" collapsed="false">
      <c r="A9" s="4" t="s">
        <v>119</v>
      </c>
      <c r="B9" s="4" t="s">
        <v>107</v>
      </c>
      <c r="C9" s="4" t="s">
        <v>108</v>
      </c>
      <c r="D9" s="4" t="s">
        <v>109</v>
      </c>
      <c r="E9" s="4" t="s">
        <v>110</v>
      </c>
      <c r="F9" s="4" t="s">
        <v>111</v>
      </c>
      <c r="G9" s="4" t="s">
        <v>112</v>
      </c>
      <c r="H9" s="4" t="s">
        <v>113</v>
      </c>
    </row>
    <row r="10" customFormat="false" ht="15" hidden="false" customHeight="false" outlineLevel="0" collapsed="false">
      <c r="A10" s="10" t="n">
        <v>0</v>
      </c>
      <c r="B10" s="9" t="n">
        <v>6000000</v>
      </c>
      <c r="C10" s="9" t="n">
        <v>2395000</v>
      </c>
      <c r="D10" s="9" t="n">
        <v>1645000</v>
      </c>
      <c r="E10" s="9" t="n">
        <v>1529000</v>
      </c>
      <c r="F10" s="9" t="n">
        <v>1103000</v>
      </c>
      <c r="G10" s="9" t="n">
        <v>667000</v>
      </c>
      <c r="H10" s="9" t="n">
        <v>127000</v>
      </c>
    </row>
    <row r="11" customFormat="false" ht="15" hidden="false" customHeight="false" outlineLevel="0" collapsed="false">
      <c r="A11" s="10" t="n">
        <v>0.01</v>
      </c>
      <c r="C11" s="9" t="n">
        <v>2455000</v>
      </c>
      <c r="D11" s="9" t="n">
        <v>1696000</v>
      </c>
      <c r="E11" s="9" t="n">
        <v>1566000</v>
      </c>
      <c r="F11" s="9" t="n">
        <v>1145000</v>
      </c>
      <c r="G11" s="9" t="n">
        <v>717000</v>
      </c>
      <c r="H11" s="9" t="n">
        <v>157000</v>
      </c>
    </row>
    <row r="12" customFormat="false" ht="15" hidden="false" customHeight="false" outlineLevel="0" collapsed="false">
      <c r="A12" s="10" t="n">
        <v>0.02</v>
      </c>
      <c r="C12" s="9" t="n">
        <v>2545000</v>
      </c>
      <c r="D12" s="9" t="n">
        <v>1720700</v>
      </c>
      <c r="E12" s="9" t="n">
        <v>1649000</v>
      </c>
      <c r="F12" s="9" t="n">
        <v>1226000</v>
      </c>
      <c r="G12" s="9" t="n">
        <v>799000</v>
      </c>
      <c r="H12" s="9" t="n">
        <v>229000</v>
      </c>
    </row>
    <row r="13" customFormat="false" ht="15" hidden="false" customHeight="false" outlineLevel="0" collapsed="false">
      <c r="A13" s="10" t="n">
        <v>0.03</v>
      </c>
      <c r="C13" s="9" t="n">
        <v>2665000</v>
      </c>
      <c r="D13" s="9" t="n">
        <v>1896000</v>
      </c>
      <c r="E13" s="9" t="n">
        <v>1760000</v>
      </c>
      <c r="F13" s="9" t="n">
        <v>1334000</v>
      </c>
      <c r="G13" s="9" t="n">
        <v>910000</v>
      </c>
      <c r="H13" s="9" t="n">
        <v>325000</v>
      </c>
    </row>
    <row r="14" customFormat="false" ht="15" hidden="false" customHeight="false" outlineLevel="0" collapsed="false">
      <c r="A14" s="10" t="n">
        <v>0.04</v>
      </c>
      <c r="C14" s="9" t="n">
        <v>2800000</v>
      </c>
      <c r="D14" s="9" t="n">
        <v>2024000</v>
      </c>
      <c r="E14" s="9" t="n">
        <v>1884000</v>
      </c>
      <c r="F14" s="9" t="n">
        <v>1456000</v>
      </c>
      <c r="G14" s="9" t="n">
        <v>1034000</v>
      </c>
      <c r="H14" s="9" t="n">
        <v>433000</v>
      </c>
    </row>
    <row r="15" customFormat="false" ht="15" hidden="false" customHeight="false" outlineLevel="0" collapsed="false">
      <c r="A15" s="10" t="n">
        <v>0.05</v>
      </c>
      <c r="C15" s="9" t="n">
        <v>2950000</v>
      </c>
      <c r="D15" s="9" t="n">
        <v>2166000</v>
      </c>
      <c r="E15" s="9" t="n">
        <v>2022000</v>
      </c>
      <c r="F15" s="9" t="n">
        <v>1591000</v>
      </c>
      <c r="G15" s="9" t="n">
        <v>1172000</v>
      </c>
      <c r="H15" s="9" t="n">
        <v>553000</v>
      </c>
    </row>
    <row r="16" customFormat="false" ht="15" hidden="false" customHeight="false" outlineLevel="0" collapsed="false">
      <c r="A16" s="10" t="n">
        <v>0.06</v>
      </c>
      <c r="C16" s="9" t="n">
        <v>3130000</v>
      </c>
      <c r="D16" s="9" t="n">
        <v>2367000</v>
      </c>
      <c r="E16" s="9" t="n">
        <v>2157000</v>
      </c>
      <c r="F16" s="9" t="n">
        <v>1723000</v>
      </c>
      <c r="G16" s="9" t="n">
        <v>1307000</v>
      </c>
      <c r="H16" s="9" t="n">
        <v>667000</v>
      </c>
    </row>
    <row r="17" customFormat="false" ht="15" hidden="false" customHeight="false" outlineLevel="0" collapsed="false">
      <c r="A17" s="10" t="n">
        <v>0.07</v>
      </c>
      <c r="C17" s="9" t="n">
        <v>3196000</v>
      </c>
      <c r="D17" s="9" t="n">
        <v>2417000</v>
      </c>
      <c r="E17" s="9" t="n">
        <v>2195000</v>
      </c>
      <c r="F17" s="9" t="n">
        <v>1792000</v>
      </c>
      <c r="G17" s="9" t="n">
        <v>1345000</v>
      </c>
      <c r="H17" s="9" t="n">
        <v>694000</v>
      </c>
    </row>
    <row r="18" customFormat="false" ht="15" hidden="false" customHeight="false" outlineLevel="0" collapsed="false">
      <c r="A18" s="10" t="n">
        <v>0.08</v>
      </c>
      <c r="C18" s="9" t="n">
        <v>3268000</v>
      </c>
      <c r="D18" s="9" t="n">
        <v>2446000</v>
      </c>
      <c r="E18" s="9" t="n">
        <v>2231000</v>
      </c>
      <c r="F18" s="9" t="n">
        <v>1823000</v>
      </c>
      <c r="G18" s="9" t="n">
        <v>1366000</v>
      </c>
      <c r="H18" s="9" t="n">
        <v>752000</v>
      </c>
    </row>
    <row r="19" customFormat="false" ht="15" hidden="false" customHeight="false" outlineLevel="0" collapsed="false">
      <c r="A19" s="10" t="n">
        <v>0.09</v>
      </c>
      <c r="C19" s="9" t="n">
        <v>3310000</v>
      </c>
      <c r="D19" s="9" t="n">
        <v>2465000</v>
      </c>
      <c r="E19" s="9" t="n">
        <v>2258000</v>
      </c>
      <c r="F19" s="9" t="n">
        <v>1837000</v>
      </c>
      <c r="G19" s="9" t="n">
        <v>1495000</v>
      </c>
      <c r="H19" s="9" t="n">
        <v>875000</v>
      </c>
    </row>
    <row r="20" customFormat="false" ht="15" hidden="false" customHeight="false" outlineLevel="0" collapsed="false">
      <c r="A20" s="10" t="n">
        <v>0.1</v>
      </c>
      <c r="C20" s="9" t="n">
        <v>3340000</v>
      </c>
      <c r="D20" s="9" t="n">
        <v>2494000</v>
      </c>
      <c r="E20" s="9" t="n">
        <v>2286000</v>
      </c>
      <c r="F20" s="9" t="n">
        <v>1843000</v>
      </c>
      <c r="G20" s="9" t="n">
        <v>1523000</v>
      </c>
      <c r="H20" s="9" t="n">
        <v>935000</v>
      </c>
    </row>
    <row r="23" customFormat="false" ht="15" hidden="false" customHeight="false" outlineLevel="0" collapsed="false">
      <c r="A23" s="5" t="s">
        <v>120</v>
      </c>
      <c r="B23" s="6"/>
      <c r="C23" s="6"/>
      <c r="D23" s="6"/>
      <c r="E23" s="6"/>
      <c r="F23" s="6"/>
      <c r="G23" s="6"/>
      <c r="H23" s="6"/>
    </row>
    <row r="24" customFormat="false" ht="23.85" hidden="false" customHeight="false" outlineLevel="0" collapsed="false">
      <c r="A24" s="4" t="s">
        <v>121</v>
      </c>
      <c r="B24" s="4" t="s">
        <v>122</v>
      </c>
      <c r="C24" s="4" t="s">
        <v>123</v>
      </c>
      <c r="D24" s="4" t="s">
        <v>124</v>
      </c>
    </row>
    <row r="25" customFormat="false" ht="15" hidden="false" customHeight="false" outlineLevel="0" collapsed="false">
      <c r="A25" s="7" t="s">
        <v>125</v>
      </c>
      <c r="B25" s="10" t="n">
        <v>0.071</v>
      </c>
      <c r="C25" s="15" t="n">
        <f aca="false">Supuestos!$B$32*B25</f>
        <v>81792</v>
      </c>
      <c r="D25" s="15" t="n">
        <f aca="false">Supuestos!$B$33*B25</f>
        <v>84916</v>
      </c>
    </row>
    <row r="26" customFormat="false" ht="15" hidden="false" customHeight="false" outlineLevel="0" collapsed="false">
      <c r="A26" s="7" t="s">
        <v>126</v>
      </c>
      <c r="B26" s="10" t="n">
        <v>0.09</v>
      </c>
      <c r="C26" s="15" t="n">
        <f aca="false">Supuestos!$B$32*B26</f>
        <v>103680</v>
      </c>
      <c r="D26" s="15" t="n">
        <f aca="false">Supuestos!$B$33*B26</f>
        <v>107640</v>
      </c>
    </row>
    <row r="27" customFormat="false" ht="15" hidden="false" customHeight="false" outlineLevel="0" collapsed="false">
      <c r="A27" s="7" t="s">
        <v>127</v>
      </c>
      <c r="B27" s="10" t="n">
        <v>0.118</v>
      </c>
      <c r="C27" s="15" t="n">
        <f aca="false">Supuestos!$B$32*B27</f>
        <v>135936</v>
      </c>
      <c r="D27" s="15" t="n">
        <f aca="false">Supuestos!$B$33*B27</f>
        <v>141128</v>
      </c>
    </row>
    <row r="28" customFormat="false" ht="15" hidden="false" customHeight="false" outlineLevel="0" collapsed="false">
      <c r="A28" s="7" t="s">
        <v>128</v>
      </c>
      <c r="B28" s="10" t="n">
        <v>0.075</v>
      </c>
      <c r="C28" s="15" t="n">
        <f aca="false">Supuestos!$B$32*B28</f>
        <v>86400</v>
      </c>
      <c r="D28" s="15" t="n">
        <f aca="false">Supuestos!$B$33*B28</f>
        <v>89700</v>
      </c>
    </row>
    <row r="29" customFormat="false" ht="15" hidden="false" customHeight="false" outlineLevel="0" collapsed="false">
      <c r="A29" s="7" t="s">
        <v>129</v>
      </c>
      <c r="B29" s="10" t="n">
        <v>0.081</v>
      </c>
      <c r="C29" s="15" t="n">
        <f aca="false">Supuestos!$B$32*B29</f>
        <v>93312</v>
      </c>
      <c r="D29" s="15" t="n">
        <f aca="false">Supuestos!$B$33*B29</f>
        <v>96876</v>
      </c>
    </row>
    <row r="30" customFormat="false" ht="15" hidden="false" customHeight="false" outlineLevel="0" collapsed="false">
      <c r="A30" s="7" t="s">
        <v>130</v>
      </c>
      <c r="B30" s="10" t="n">
        <v>0.05</v>
      </c>
      <c r="C30" s="15" t="n">
        <f aca="false">Supuestos!$B$32*B30</f>
        <v>57600</v>
      </c>
      <c r="D30" s="15" t="n">
        <f aca="false">Supuestos!$B$33*B30</f>
        <v>59800</v>
      </c>
    </row>
    <row r="31" customFormat="false" ht="15" hidden="false" customHeight="false" outlineLevel="0" collapsed="false">
      <c r="A31" s="7" t="s">
        <v>131</v>
      </c>
      <c r="B31" s="10" t="n">
        <v>0.042</v>
      </c>
      <c r="C31" s="15" t="n">
        <f aca="false">Supuestos!$B$32*B31</f>
        <v>48384</v>
      </c>
      <c r="D31" s="15" t="n">
        <f aca="false">Supuestos!$B$33*B31</f>
        <v>50232</v>
      </c>
    </row>
    <row r="32" customFormat="false" ht="15" hidden="false" customHeight="false" outlineLevel="0" collapsed="false">
      <c r="A32" s="7" t="s">
        <v>132</v>
      </c>
      <c r="B32" s="10" t="n">
        <v>0.033</v>
      </c>
      <c r="C32" s="15" t="n">
        <f aca="false">Supuestos!$B$32*B32</f>
        <v>38016</v>
      </c>
      <c r="D32" s="15" t="n">
        <f aca="false">Supuestos!$B$33*B32</f>
        <v>39468</v>
      </c>
    </row>
    <row r="33" customFormat="false" ht="15" hidden="false" customHeight="false" outlineLevel="0" collapsed="false">
      <c r="A33" s="7" t="s">
        <v>133</v>
      </c>
      <c r="B33" s="10" t="n">
        <v>0.068</v>
      </c>
      <c r="C33" s="15" t="n">
        <f aca="false">Supuestos!$B$32*B33</f>
        <v>78336</v>
      </c>
      <c r="D33" s="15" t="n">
        <f aca="false">Supuestos!$B$33*B33</f>
        <v>81328</v>
      </c>
    </row>
    <row r="34" customFormat="false" ht="15" hidden="false" customHeight="false" outlineLevel="0" collapsed="false">
      <c r="A34" s="7" t="s">
        <v>134</v>
      </c>
      <c r="B34" s="10" t="n">
        <v>0.131</v>
      </c>
      <c r="C34" s="15" t="n">
        <f aca="false">Supuestos!$B$32*B34</f>
        <v>150912</v>
      </c>
      <c r="D34" s="15" t="n">
        <f aca="false">Supuestos!$B$33*B34</f>
        <v>156676</v>
      </c>
    </row>
    <row r="35" customFormat="false" ht="15" hidden="false" customHeight="false" outlineLevel="0" collapsed="false">
      <c r="A35" s="7" t="s">
        <v>135</v>
      </c>
      <c r="B35" s="10" t="n">
        <v>0.121</v>
      </c>
      <c r="C35" s="15" t="n">
        <f aca="false">Supuestos!$B$32*B35</f>
        <v>139392</v>
      </c>
      <c r="D35" s="15" t="n">
        <f aca="false">Supuestos!$B$33*B35</f>
        <v>144716</v>
      </c>
    </row>
    <row r="36" customFormat="false" ht="15" hidden="false" customHeight="false" outlineLevel="0" collapsed="false">
      <c r="A36" s="7" t="s">
        <v>136</v>
      </c>
      <c r="B36" s="10" t="n">
        <v>0.12</v>
      </c>
      <c r="C36" s="15" t="n">
        <f aca="false">Supuestos!$B$32*B36</f>
        <v>138240</v>
      </c>
      <c r="D36" s="15" t="n">
        <f aca="false">Supuestos!$B$33*B36</f>
        <v>143520</v>
      </c>
    </row>
    <row r="37" customFormat="false" ht="15" hidden="false" customHeight="false" outlineLevel="0" collapsed="false">
      <c r="A37" s="22" t="s">
        <v>137</v>
      </c>
      <c r="B37" s="23" t="n">
        <f aca="false">SUM(B25:B36)</f>
        <v>1</v>
      </c>
      <c r="C37" s="24" t="n">
        <f aca="false">SUM(C25:C36)</f>
        <v>1152000</v>
      </c>
      <c r="D37" s="24" t="n">
        <f aca="false">SUM(D25:D36)</f>
        <v>1196000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8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4"/>
    <col collapsed="false" customWidth="true" hidden="false" outlineLevel="0" max="3" min="3" style="0" width="62"/>
  </cols>
  <sheetData>
    <row r="1" customFormat="false" ht="16.15" hidden="false" customHeight="false" outlineLevel="0" collapsed="false">
      <c r="A1" s="1" t="s">
        <v>138</v>
      </c>
      <c r="B1" s="2"/>
      <c r="C1" s="2"/>
      <c r="D1" s="2"/>
    </row>
    <row r="2" customFormat="false" ht="15" hidden="false" customHeight="false" outlineLevel="0" collapsed="false">
      <c r="A2" s="3" t="s">
        <v>139</v>
      </c>
    </row>
    <row r="3" customFormat="false" ht="15" hidden="false" customHeight="false" outlineLevel="0" collapsed="false">
      <c r="A3" s="5" t="s">
        <v>140</v>
      </c>
      <c r="B3" s="6"/>
      <c r="C3" s="6"/>
      <c r="D3" s="6"/>
    </row>
    <row r="4" customFormat="false" ht="15" hidden="false" customHeight="false" outlineLevel="0" collapsed="false">
      <c r="A4" s="4" t="s">
        <v>2</v>
      </c>
      <c r="B4" s="4" t="s">
        <v>141</v>
      </c>
      <c r="C4" s="4" t="s">
        <v>142</v>
      </c>
    </row>
    <row r="5" customFormat="false" ht="15" hidden="false" customHeight="false" outlineLevel="0" collapsed="false">
      <c r="A5" s="7" t="s">
        <v>143</v>
      </c>
      <c r="B5" s="15" t="n">
        <f aca="false">Supuestos!$B$6</f>
        <v>7902.72</v>
      </c>
      <c r="C5" s="19" t="n">
        <f aca="false">B5/$B$7</f>
        <v>0.177159412804352</v>
      </c>
    </row>
    <row r="6" customFormat="false" ht="15" hidden="false" customHeight="false" outlineLevel="0" collapsed="false">
      <c r="A6" s="7" t="s">
        <v>144</v>
      </c>
      <c r="B6" s="15" t="n">
        <f aca="false">Supuestos!$B$7</f>
        <v>36705.24</v>
      </c>
      <c r="C6" s="19" t="n">
        <f aca="false">B6/$B$7</f>
        <v>0.822840587195649</v>
      </c>
    </row>
    <row r="7" customFormat="false" ht="15" hidden="false" customHeight="false" outlineLevel="0" collapsed="false">
      <c r="A7" s="25" t="s">
        <v>145</v>
      </c>
      <c r="B7" s="24" t="n">
        <f aca="false">B5+B6</f>
        <v>44607.96</v>
      </c>
      <c r="C7" s="23" t="n">
        <f aca="false">B7/$B$7</f>
        <v>1</v>
      </c>
    </row>
    <row r="8" customFormat="false" ht="15" hidden="false" customHeight="false" outlineLevel="0" collapsed="false">
      <c r="A8" s="7" t="s">
        <v>146</v>
      </c>
      <c r="B8" s="15" t="n">
        <f aca="false">Supuestos!$B$8</f>
        <v>26421</v>
      </c>
      <c r="C8" s="19" t="n">
        <f aca="false">B8/$B$7</f>
        <v>0.592293393376429</v>
      </c>
    </row>
    <row r="9" customFormat="false" ht="15" hidden="false" customHeight="false" outlineLevel="0" collapsed="false">
      <c r="A9" s="25" t="s">
        <v>147</v>
      </c>
      <c r="B9" s="24" t="n">
        <f aca="false">B7-B8</f>
        <v>18186.96</v>
      </c>
      <c r="C9" s="23" t="n">
        <f aca="false">B9/$B$7</f>
        <v>0.407706606623571</v>
      </c>
    </row>
    <row r="10" customFormat="false" ht="15" hidden="false" customHeight="false" outlineLevel="0" collapsed="false">
      <c r="A10" s="7" t="s">
        <v>148</v>
      </c>
      <c r="B10" s="15" t="n">
        <f aca="false">Supuestos!$B$10</f>
        <v>3303</v>
      </c>
      <c r="C10" s="19" t="n">
        <f aca="false">B10/$B$7</f>
        <v>0.0740450807434368</v>
      </c>
    </row>
    <row r="11" customFormat="false" ht="15" hidden="false" customHeight="false" outlineLevel="0" collapsed="false">
      <c r="A11" s="7" t="s">
        <v>149</v>
      </c>
      <c r="B11" s="15" t="n">
        <f aca="false">Supuestos!$B$11</f>
        <v>2647</v>
      </c>
      <c r="C11" s="19" t="n">
        <f aca="false">B11/$B$7</f>
        <v>0.059339185203717</v>
      </c>
    </row>
    <row r="12" customFormat="false" ht="15" hidden="false" customHeight="false" outlineLevel="0" collapsed="false">
      <c r="A12" s="7" t="s">
        <v>150</v>
      </c>
      <c r="B12" s="15" t="n">
        <f aca="false">Supuestos!$B$12</f>
        <v>2844</v>
      </c>
      <c r="C12" s="19" t="n">
        <f aca="false">B12/$B$7</f>
        <v>0.0637554373703707</v>
      </c>
    </row>
    <row r="13" customFormat="false" ht="15" hidden="false" customHeight="false" outlineLevel="0" collapsed="false">
      <c r="A13" s="7" t="s">
        <v>151</v>
      </c>
      <c r="B13" s="15" t="n">
        <f aca="false">Supuestos!$B$13</f>
        <v>3781</v>
      </c>
      <c r="C13" s="19" t="n">
        <f aca="false">B13/$B$7</f>
        <v>0.0847606570665863</v>
      </c>
    </row>
    <row r="14" customFormat="false" ht="15" hidden="false" customHeight="false" outlineLevel="0" collapsed="false">
      <c r="A14" s="25" t="s">
        <v>152</v>
      </c>
      <c r="B14" s="24" t="n">
        <f aca="false">B9-SUM(B10:B13)</f>
        <v>5611.96</v>
      </c>
      <c r="C14" s="23" t="n">
        <f aca="false">B14/$B$7</f>
        <v>0.12580624623946</v>
      </c>
    </row>
    <row r="15" customFormat="false" ht="15" hidden="false" customHeight="false" outlineLevel="0" collapsed="false">
      <c r="A15" s="7" t="s">
        <v>153</v>
      </c>
      <c r="B15" s="15" t="n">
        <f aca="false">Supuestos!$B$14</f>
        <v>3043</v>
      </c>
      <c r="C15" s="19" t="n">
        <f aca="false">B15/$B$7</f>
        <v>0.0682165245844015</v>
      </c>
    </row>
    <row r="16" customFormat="false" ht="15" hidden="false" customHeight="false" outlineLevel="0" collapsed="false">
      <c r="A16" s="7" t="s">
        <v>154</v>
      </c>
      <c r="B16" s="11" t="n">
        <f aca="false">B14-B15</f>
        <v>2568.96</v>
      </c>
      <c r="C16" s="19" t="n">
        <f aca="false">B16/$B$7</f>
        <v>0.0575897216550589</v>
      </c>
    </row>
    <row r="17" customFormat="false" ht="15" hidden="false" customHeight="false" outlineLevel="0" collapsed="false">
      <c r="A17" s="7" t="s">
        <v>155</v>
      </c>
      <c r="B17" s="15" t="n">
        <f aca="false">MAX(0,B16)*Supuestos!$B$15</f>
        <v>1027.584</v>
      </c>
      <c r="C17" s="19" t="n">
        <f aca="false">B17/$B$7</f>
        <v>0.0230358886620235</v>
      </c>
    </row>
    <row r="18" customFormat="false" ht="15" hidden="false" customHeight="false" outlineLevel="0" collapsed="false">
      <c r="A18" s="25" t="s">
        <v>156</v>
      </c>
      <c r="B18" s="24" t="n">
        <f aca="false">B16-B17</f>
        <v>1541.376</v>
      </c>
      <c r="C18" s="23" t="n">
        <f aca="false">B18/$B$7</f>
        <v>0.0345538329930353</v>
      </c>
    </row>
    <row r="19" customFormat="false" ht="15" hidden="false" customHeight="false" outlineLevel="0" collapsed="false">
      <c r="A19" s="7" t="s">
        <v>157</v>
      </c>
      <c r="B19" s="15" t="n">
        <f aca="false">Supuestos!$B$9</f>
        <v>2081</v>
      </c>
      <c r="C19" s="19" t="n">
        <f aca="false">B19/$B$7</f>
        <v>0.0466508667959709</v>
      </c>
    </row>
    <row r="20" customFormat="false" ht="15" hidden="false" customHeight="false" outlineLevel="0" collapsed="false">
      <c r="A20" s="7" t="s">
        <v>158</v>
      </c>
      <c r="B20" s="11" t="n">
        <f aca="false">B14+B19</f>
        <v>7692.96</v>
      </c>
      <c r="C20" s="19" t="n">
        <f aca="false">B20/$B$7</f>
        <v>0.172457113035431</v>
      </c>
    </row>
    <row r="22" customFormat="false" ht="15" hidden="false" customHeight="false" outlineLevel="0" collapsed="false">
      <c r="A22" s="5" t="s">
        <v>159</v>
      </c>
      <c r="B22" s="6"/>
      <c r="C22" s="6"/>
      <c r="D22" s="6"/>
    </row>
    <row r="23" customFormat="false" ht="15" hidden="false" customHeight="false" outlineLevel="0" collapsed="false">
      <c r="A23" s="4" t="s">
        <v>2</v>
      </c>
      <c r="B23" s="4" t="s">
        <v>141</v>
      </c>
      <c r="C23" s="4" t="s">
        <v>160</v>
      </c>
    </row>
    <row r="24" customFormat="false" ht="15" hidden="false" customHeight="false" outlineLevel="0" collapsed="false">
      <c r="A24" s="7" t="s">
        <v>23</v>
      </c>
      <c r="B24" s="15" t="n">
        <f aca="false">Supuestos!$B$18</f>
        <v>892</v>
      </c>
      <c r="C24" s="19" t="n">
        <f aca="false">B24/$B$32</f>
        <v>0.0251161990248157</v>
      </c>
    </row>
    <row r="25" customFormat="false" ht="15" hidden="false" customHeight="false" outlineLevel="0" collapsed="false">
      <c r="A25" s="7" t="s">
        <v>24</v>
      </c>
      <c r="B25" s="15" t="n">
        <f aca="false">Supuestos!$B$19</f>
        <v>2313</v>
      </c>
      <c r="C25" s="19" t="n">
        <f aca="false">B25/$B$32</f>
        <v>0.0651275429869941</v>
      </c>
    </row>
    <row r="26" customFormat="false" ht="15" hidden="false" customHeight="false" outlineLevel="0" collapsed="false">
      <c r="A26" s="7" t="s">
        <v>25</v>
      </c>
      <c r="B26" s="15" t="n">
        <f aca="false">Supuestos!$B$20</f>
        <v>913</v>
      </c>
      <c r="C26" s="19" t="n">
        <f aca="false">B26/$B$32</f>
        <v>0.0257074996745031</v>
      </c>
    </row>
    <row r="27" customFormat="false" ht="15" hidden="false" customHeight="false" outlineLevel="0" collapsed="false">
      <c r="A27" s="7" t="s">
        <v>29</v>
      </c>
      <c r="B27" s="15" t="n">
        <f aca="false">Supuestos!$B$22</f>
        <v>7448.928</v>
      </c>
      <c r="C27" s="19" t="n">
        <f aca="false">B27/$B$32</f>
        <v>0.209740760279734</v>
      </c>
    </row>
    <row r="28" customFormat="false" ht="15" hidden="false" customHeight="false" outlineLevel="0" collapsed="false">
      <c r="A28" s="25" t="s">
        <v>161</v>
      </c>
      <c r="B28" s="24" t="n">
        <f aca="false">SUM(B24:B27)</f>
        <v>11566.928</v>
      </c>
      <c r="C28" s="23" t="n">
        <f aca="false">B28/$B$32</f>
        <v>0.325692001966047</v>
      </c>
    </row>
    <row r="29" customFormat="false" ht="15" hidden="false" customHeight="false" outlineLevel="0" collapsed="false">
      <c r="A29" s="7" t="s">
        <v>162</v>
      </c>
      <c r="B29" s="15" t="n">
        <f aca="false">Supuestos!$B$23</f>
        <v>33706</v>
      </c>
      <c r="C29" s="19" t="n">
        <f aca="false">B29/$B$32</f>
        <v>0.949065699922016</v>
      </c>
    </row>
    <row r="30" customFormat="false" ht="15" hidden="false" customHeight="false" outlineLevel="0" collapsed="false">
      <c r="A30" s="7" t="s">
        <v>31</v>
      </c>
      <c r="B30" s="15" t="n">
        <f aca="false">-Supuestos!$B$24</f>
        <v>-9758</v>
      </c>
      <c r="C30" s="19" t="n">
        <f aca="false">B30/$B$32</f>
        <v>-0.274757701888062</v>
      </c>
    </row>
    <row r="31" customFormat="false" ht="15" hidden="false" customHeight="false" outlineLevel="0" collapsed="false">
      <c r="A31" s="7" t="s">
        <v>163</v>
      </c>
      <c r="B31" s="11" t="n">
        <f aca="false">B29+B30</f>
        <v>23948</v>
      </c>
      <c r="C31" s="19" t="n">
        <f aca="false">B31/$B$32</f>
        <v>0.674307998033954</v>
      </c>
    </row>
    <row r="32" customFormat="false" ht="15" hidden="false" customHeight="false" outlineLevel="0" collapsed="false">
      <c r="A32" s="25" t="s">
        <v>164</v>
      </c>
      <c r="B32" s="24" t="n">
        <f aca="false">B28+B31</f>
        <v>35514.928</v>
      </c>
      <c r="C32" s="23" t="n">
        <f aca="false">B32/$B$32</f>
        <v>1</v>
      </c>
    </row>
    <row r="33" customFormat="false" ht="15" hidden="false" customHeight="false" outlineLevel="0" collapsed="false">
      <c r="A33" s="7" t="s">
        <v>35</v>
      </c>
      <c r="B33" s="15" t="n">
        <f aca="false">Supuestos!$B$26</f>
        <v>388</v>
      </c>
      <c r="C33" s="19" t="n">
        <f aca="false">B33/$B$32</f>
        <v>0.0109249834323189</v>
      </c>
    </row>
    <row r="34" customFormat="false" ht="15" hidden="false" customHeight="false" outlineLevel="0" collapsed="false">
      <c r="A34" s="7" t="s">
        <v>36</v>
      </c>
      <c r="B34" s="15" t="n">
        <f aca="false">Supuestos!$B$27</f>
        <v>20000</v>
      </c>
      <c r="C34" s="19" t="n">
        <f aca="false">B34/$B$32</f>
        <v>0.563143475892729</v>
      </c>
    </row>
    <row r="35" customFormat="false" ht="15" hidden="false" customHeight="false" outlineLevel="0" collapsed="false">
      <c r="A35" s="25" t="s">
        <v>165</v>
      </c>
      <c r="B35" s="24" t="n">
        <f aca="false">B33+B34</f>
        <v>20388</v>
      </c>
      <c r="C35" s="23" t="n">
        <f aca="false">B35/$B$32</f>
        <v>0.574068459325048</v>
      </c>
    </row>
    <row r="36" customFormat="false" ht="15" hidden="false" customHeight="false" outlineLevel="0" collapsed="false">
      <c r="A36" s="7" t="s">
        <v>37</v>
      </c>
      <c r="B36" s="15" t="n">
        <f aca="false">Supuestos!$B$28</f>
        <v>8000</v>
      </c>
      <c r="C36" s="19" t="n">
        <f aca="false">B36/$B$32</f>
        <v>0.225257390357092</v>
      </c>
    </row>
    <row r="37" customFormat="false" ht="15" hidden="false" customHeight="false" outlineLevel="0" collapsed="false">
      <c r="A37" s="25" t="s">
        <v>166</v>
      </c>
      <c r="B37" s="24" t="n">
        <f aca="false">B35+B36</f>
        <v>28388</v>
      </c>
      <c r="C37" s="23" t="n">
        <f aca="false">B37/$B$32</f>
        <v>0.799325849682139</v>
      </c>
    </row>
    <row r="38" customFormat="false" ht="15" hidden="false" customHeight="false" outlineLevel="0" collapsed="false">
      <c r="A38" s="22" t="s">
        <v>167</v>
      </c>
      <c r="B38" s="11" t="n">
        <f aca="false">B32-B37</f>
        <v>7126.928</v>
      </c>
      <c r="C38" s="19" t="n">
        <f aca="false">B38/$B$32</f>
        <v>0.200674150317861</v>
      </c>
    </row>
    <row r="39" customFormat="false" ht="15" hidden="false" customHeight="false" outlineLevel="0" collapsed="false">
      <c r="A39" s="25" t="s">
        <v>168</v>
      </c>
      <c r="B39" s="24" t="n">
        <f aca="false">B37+B38</f>
        <v>35514.928</v>
      </c>
      <c r="C39" s="23" t="n">
        <f aca="false">B39/$B$32</f>
        <v>1</v>
      </c>
    </row>
    <row r="40" customFormat="false" ht="15" hidden="false" customHeight="false" outlineLevel="0" collapsed="false">
      <c r="A40" s="21" t="s">
        <v>169</v>
      </c>
    </row>
    <row r="42" customFormat="false" ht="15" hidden="false" customHeight="false" outlineLevel="0" collapsed="false">
      <c r="A42" s="5" t="s">
        <v>170</v>
      </c>
      <c r="B42" s="6"/>
      <c r="C42" s="6"/>
      <c r="D42" s="6"/>
    </row>
    <row r="43" customFormat="false" ht="15" hidden="false" customHeight="false" outlineLevel="0" collapsed="false">
      <c r="A43" s="4" t="s">
        <v>171</v>
      </c>
      <c r="B43" s="4" t="s">
        <v>3</v>
      </c>
      <c r="C43" s="4" t="s">
        <v>172</v>
      </c>
    </row>
    <row r="44" customFormat="false" ht="15" hidden="false" customHeight="false" outlineLevel="0" collapsed="false">
      <c r="A44" s="26" t="s">
        <v>173</v>
      </c>
    </row>
    <row r="45" customFormat="false" ht="15" hidden="false" customHeight="false" outlineLevel="0" collapsed="false">
      <c r="A45" s="7" t="s">
        <v>147</v>
      </c>
      <c r="B45" s="19" t="n">
        <f aca="false">B9/B7</f>
        <v>0.407706606623571</v>
      </c>
      <c r="C45" s="21" t="s">
        <v>174</v>
      </c>
    </row>
    <row r="46" customFormat="false" ht="15" hidden="false" customHeight="false" outlineLevel="0" collapsed="false">
      <c r="A46" s="7" t="s">
        <v>175</v>
      </c>
      <c r="B46" s="19" t="n">
        <f aca="false">B14/B7</f>
        <v>0.12580624623946</v>
      </c>
      <c r="C46" s="21"/>
    </row>
    <row r="47" customFormat="false" ht="15" hidden="false" customHeight="false" outlineLevel="0" collapsed="false">
      <c r="A47" s="7" t="s">
        <v>176</v>
      </c>
      <c r="B47" s="19" t="n">
        <f aca="false">B18/B7</f>
        <v>0.0345538329930353</v>
      </c>
      <c r="C47" s="21" t="s">
        <v>177</v>
      </c>
    </row>
    <row r="48" customFormat="false" ht="15" hidden="false" customHeight="false" outlineLevel="0" collapsed="false">
      <c r="A48" s="7" t="s">
        <v>178</v>
      </c>
      <c r="B48" s="19" t="n">
        <f aca="false">B15/B14</f>
        <v>0.54223479853741</v>
      </c>
      <c r="C48" s="21"/>
    </row>
    <row r="49" customFormat="false" ht="15" hidden="false" customHeight="false" outlineLevel="0" collapsed="false">
      <c r="A49" s="7" t="s">
        <v>179</v>
      </c>
      <c r="B49" s="18" t="n">
        <f aca="false">B14/B15</f>
        <v>1.84421952021032</v>
      </c>
      <c r="C49" s="21" t="s">
        <v>180</v>
      </c>
    </row>
    <row r="50" customFormat="false" ht="15" hidden="false" customHeight="false" outlineLevel="0" collapsed="false">
      <c r="A50" s="7" t="s">
        <v>181</v>
      </c>
      <c r="B50" s="18" t="n">
        <f aca="false">B7/B32</f>
        <v>1.25603408234419</v>
      </c>
      <c r="C50" s="21"/>
    </row>
    <row r="51" customFormat="false" ht="15" hidden="false" customHeight="false" outlineLevel="0" collapsed="false">
      <c r="A51" s="7" t="s">
        <v>182</v>
      </c>
      <c r="B51" s="18" t="n">
        <f aca="false">B32/B38</f>
        <v>4.98320286103634</v>
      </c>
      <c r="C51" s="21" t="s">
        <v>183</v>
      </c>
    </row>
    <row r="52" customFormat="false" ht="15" hidden="false" customHeight="false" outlineLevel="0" collapsed="false">
      <c r="A52" s="7" t="s">
        <v>184</v>
      </c>
      <c r="B52" s="19" t="n">
        <f aca="false">B18/B32</f>
        <v>0.0434007919148815</v>
      </c>
      <c r="C52" s="21"/>
    </row>
    <row r="53" customFormat="false" ht="15" hidden="false" customHeight="false" outlineLevel="0" collapsed="false">
      <c r="A53" s="7" t="s">
        <v>185</v>
      </c>
      <c r="B53" s="19" t="n">
        <f aca="false">B18/B38</f>
        <v>0.21627495044148</v>
      </c>
      <c r="C53" s="21" t="s">
        <v>186</v>
      </c>
    </row>
    <row r="54" customFormat="false" ht="15" hidden="false" customHeight="false" outlineLevel="0" collapsed="false">
      <c r="A54" s="7" t="s">
        <v>187</v>
      </c>
      <c r="B54" s="19" t="n">
        <f aca="false">B47*B50*B51</f>
        <v>0.21627495044148</v>
      </c>
      <c r="C54" s="21" t="s">
        <v>188</v>
      </c>
    </row>
    <row r="55" customFormat="false" ht="15" hidden="false" customHeight="false" outlineLevel="0" collapsed="false">
      <c r="A55" s="26" t="s">
        <v>189</v>
      </c>
    </row>
    <row r="56" customFormat="false" ht="15" hidden="false" customHeight="false" outlineLevel="0" collapsed="false">
      <c r="A56" s="7" t="s">
        <v>190</v>
      </c>
      <c r="B56" s="17" t="n">
        <f aca="false">B14*(1-Supuestos!$B$15)/(B34+B36+B38)</f>
        <v>0.0958574003397052</v>
      </c>
      <c r="C56" s="21" t="s">
        <v>191</v>
      </c>
    </row>
    <row r="57" customFormat="false" ht="15" hidden="false" customHeight="false" outlineLevel="0" collapsed="false">
      <c r="A57" s="7" t="s">
        <v>192</v>
      </c>
      <c r="B57" s="17" t="n">
        <f aca="false">Supuestos!$B$70*(1-Supuestos!$B$15)</f>
        <v>0.0652071428571429</v>
      </c>
      <c r="C57" s="21" t="s">
        <v>193</v>
      </c>
    </row>
    <row r="58" customFormat="false" ht="15" hidden="false" customHeight="false" outlineLevel="0" collapsed="false">
      <c r="A58" s="7" t="s">
        <v>194</v>
      </c>
      <c r="B58" s="18" t="n">
        <f aca="false">(B34+B36)/B38</f>
        <v>3.92876145233963</v>
      </c>
      <c r="C58" s="21"/>
    </row>
    <row r="59" customFormat="false" ht="15" hidden="false" customHeight="false" outlineLevel="0" collapsed="false">
      <c r="A59" s="7" t="s">
        <v>195</v>
      </c>
      <c r="B59" s="19" t="n">
        <f aca="false">B56+(B56-B57)*B58</f>
        <v>0.21627495044148</v>
      </c>
      <c r="C59" s="21" t="s">
        <v>196</v>
      </c>
    </row>
    <row r="60" customFormat="false" ht="15" hidden="false" customHeight="false" outlineLevel="0" collapsed="false">
      <c r="A60" s="7" t="s">
        <v>197</v>
      </c>
      <c r="B60" s="19" t="n">
        <f aca="false">B56</f>
        <v>0.0958574003397052</v>
      </c>
      <c r="C60" s="21"/>
    </row>
    <row r="61" customFormat="false" ht="15" hidden="false" customHeight="false" outlineLevel="0" collapsed="false">
      <c r="A61" s="26" t="s">
        <v>198</v>
      </c>
    </row>
    <row r="62" customFormat="false" ht="15" hidden="false" customHeight="false" outlineLevel="0" collapsed="false">
      <c r="A62" s="7" t="s">
        <v>199</v>
      </c>
      <c r="B62" s="27" t="n">
        <f aca="false">B27/B7*365</f>
        <v>60.9500797615493</v>
      </c>
      <c r="C62" s="21" t="s">
        <v>200</v>
      </c>
    </row>
    <row r="63" customFormat="false" ht="15" hidden="false" customHeight="false" outlineLevel="0" collapsed="false">
      <c r="A63" s="7" t="s">
        <v>201</v>
      </c>
      <c r="B63" s="27" t="n">
        <f aca="false">B25/(B8-B19)*365</f>
        <v>34.6854971240756</v>
      </c>
      <c r="C63" s="21"/>
    </row>
    <row r="64" customFormat="false" ht="15" hidden="false" customHeight="false" outlineLevel="0" collapsed="false">
      <c r="A64" s="7" t="s">
        <v>202</v>
      </c>
      <c r="B64" s="27" t="n">
        <f aca="false">B26/(B8-B19)*365</f>
        <v>13.6912489728841</v>
      </c>
      <c r="C64" s="21"/>
    </row>
    <row r="65" customFormat="false" ht="15" hidden="false" customHeight="false" outlineLevel="0" collapsed="false">
      <c r="A65" s="7" t="s">
        <v>203</v>
      </c>
      <c r="B65" s="27" t="n">
        <f aca="false">B33/(B8-B19)*365</f>
        <v>5.81840591618735</v>
      </c>
      <c r="C65" s="21" t="s">
        <v>204</v>
      </c>
    </row>
    <row r="66" customFormat="false" ht="15" hidden="false" customHeight="false" outlineLevel="0" collapsed="false">
      <c r="A66" s="7" t="s">
        <v>205</v>
      </c>
      <c r="B66" s="27" t="n">
        <f aca="false">B62+B63+B64-B65</f>
        <v>103.508419942322</v>
      </c>
      <c r="C66" s="21"/>
    </row>
    <row r="67" customFormat="false" ht="15" hidden="false" customHeight="false" outlineLevel="0" collapsed="false">
      <c r="A67" s="7" t="s">
        <v>206</v>
      </c>
      <c r="B67" s="11" t="n">
        <f aca="false">B25+B26+B27-B33</f>
        <v>10286.928</v>
      </c>
      <c r="C67" s="21"/>
    </row>
    <row r="68" customFormat="false" ht="15" hidden="false" customHeight="false" outlineLevel="0" collapsed="false">
      <c r="A68" s="7" t="s">
        <v>207</v>
      </c>
      <c r="B68" s="19" t="n">
        <f aca="false">B67/B7</f>
        <v>0.230607452122895</v>
      </c>
      <c r="C68" s="21" t="s">
        <v>208</v>
      </c>
    </row>
    <row r="69" customFormat="false" ht="15" hidden="false" customHeight="false" outlineLevel="0" collapsed="false">
      <c r="A69" s="7" t="s">
        <v>209</v>
      </c>
      <c r="B69" s="18" t="n">
        <f aca="false">B28/B35</f>
        <v>0.567340003923877</v>
      </c>
      <c r="C69" s="21" t="s">
        <v>210</v>
      </c>
    </row>
    <row r="70" customFormat="false" ht="15" hidden="false" customHeight="false" outlineLevel="0" collapsed="false">
      <c r="A70" s="7" t="s">
        <v>211</v>
      </c>
      <c r="B70" s="18" t="n">
        <f aca="false">(B24+B27)/B35</f>
        <v>0.409109672356288</v>
      </c>
      <c r="C70" s="21"/>
    </row>
    <row r="71" customFormat="false" ht="15" hidden="false" customHeight="false" outlineLevel="0" collapsed="false">
      <c r="A71" s="7" t="s">
        <v>212</v>
      </c>
      <c r="B71" s="15" t="n">
        <f aca="false">Supuestos!$B$29-B34</f>
        <v>0</v>
      </c>
      <c r="C71" s="21" t="s">
        <v>213</v>
      </c>
    </row>
    <row r="72" customFormat="false" ht="15" hidden="false" customHeight="false" outlineLevel="0" collapsed="false">
      <c r="A72" s="7" t="s">
        <v>214</v>
      </c>
      <c r="B72" s="18" t="n">
        <f aca="false">(B34+B36)/B20</f>
        <v>3.63969135417317</v>
      </c>
      <c r="C72" s="21"/>
    </row>
    <row r="73" customFormat="false" ht="15" hidden="false" customHeight="false" outlineLevel="0" collapsed="false">
      <c r="A73" s="7" t="s">
        <v>215</v>
      </c>
      <c r="B73" s="17" t="n">
        <f aca="false">Supuestos!$B$25/B32</f>
        <v>0.281571737946364</v>
      </c>
      <c r="C73" s="21" t="s">
        <v>216</v>
      </c>
    </row>
    <row r="74" customFormat="false" ht="15" hidden="false" customHeight="false" outlineLevel="0" collapsed="false">
      <c r="A74" s="26" t="s">
        <v>217</v>
      </c>
    </row>
    <row r="75" customFormat="false" ht="15" hidden="false" customHeight="false" outlineLevel="0" collapsed="false">
      <c r="A75" s="7" t="s">
        <v>218</v>
      </c>
      <c r="B75" s="15" t="n">
        <f aca="false">B6*Supuestos!$B$65</f>
        <v>4404.6288</v>
      </c>
      <c r="C75" s="21"/>
    </row>
    <row r="76" customFormat="false" ht="15" hidden="false" customHeight="false" outlineLevel="0" collapsed="false">
      <c r="A76" s="7" t="s">
        <v>219</v>
      </c>
      <c r="B76" s="15" t="n">
        <f aca="false">B5*Supuestos!$B$64</f>
        <v>2939.81184</v>
      </c>
      <c r="C76" s="21"/>
    </row>
    <row r="77" customFormat="false" ht="15" hidden="false" customHeight="false" outlineLevel="0" collapsed="false">
      <c r="A77" s="7" t="s">
        <v>220</v>
      </c>
      <c r="B77" s="11" t="n">
        <f aca="false">B75+B76</f>
        <v>7344.44064</v>
      </c>
      <c r="C77" s="21" t="s">
        <v>221</v>
      </c>
    </row>
    <row r="78" customFormat="false" ht="15" hidden="false" customHeight="false" outlineLevel="0" collapsed="false">
      <c r="A78" s="26" t="s">
        <v>222</v>
      </c>
    </row>
    <row r="79" customFormat="false" ht="15" hidden="false" customHeight="false" outlineLevel="0" collapsed="false">
      <c r="A79" s="7" t="s">
        <v>223</v>
      </c>
      <c r="B79" s="14" t="n">
        <f aca="false">B5/Supuestos!$B$32*1000</f>
        <v>6.86</v>
      </c>
      <c r="C79" s="21" t="s">
        <v>224</v>
      </c>
    </row>
    <row r="80" customFormat="false" ht="15" hidden="false" customHeight="false" outlineLevel="0" collapsed="false">
      <c r="A80" s="7" t="s">
        <v>225</v>
      </c>
      <c r="B80" s="14" t="n">
        <f aca="false">B6/Supuestos!$B$33*1000</f>
        <v>30.69</v>
      </c>
      <c r="C80" s="21" t="s">
        <v>226</v>
      </c>
    </row>
    <row r="81" customFormat="false" ht="15" hidden="false" customHeight="false" outlineLevel="0" collapsed="false">
      <c r="A81" s="7" t="s">
        <v>227</v>
      </c>
      <c r="B81" s="15" t="n">
        <f aca="false">Supuestos!$B$32+Supuestos!$B$33</f>
        <v>2348000</v>
      </c>
      <c r="C81" s="21"/>
    </row>
    <row r="82" customFormat="false" ht="15" hidden="false" customHeight="false" outlineLevel="0" collapsed="false">
      <c r="A82" s="7" t="s">
        <v>228</v>
      </c>
      <c r="B82" s="19" t="n">
        <f aca="false">B81/(350000*12)</f>
        <v>0.559047619047619</v>
      </c>
      <c r="C82" s="21" t="s">
        <v>229</v>
      </c>
    </row>
    <row r="83" customFormat="false" ht="15" hidden="false" customHeight="false" outlineLevel="0" collapsed="false">
      <c r="A83" s="7" t="s">
        <v>230</v>
      </c>
      <c r="B83" s="17" t="n">
        <f aca="false">B81/Supuestos!$B$37</f>
        <v>0.391333333333333</v>
      </c>
      <c r="C83" s="21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6"/>
    <col collapsed="false" customWidth="true" hidden="false" outlineLevel="0" max="8" min="3" style="0" width="15"/>
  </cols>
  <sheetData>
    <row r="1" customFormat="false" ht="16.15" hidden="false" customHeight="false" outlineLevel="0" collapsed="false">
      <c r="A1" s="1" t="s">
        <v>231</v>
      </c>
      <c r="B1" s="2"/>
      <c r="C1" s="2"/>
      <c r="D1" s="2"/>
      <c r="E1" s="2"/>
      <c r="F1" s="2"/>
      <c r="G1" s="2"/>
      <c r="H1" s="2"/>
      <c r="I1" s="2"/>
    </row>
    <row r="2" customFormat="false" ht="15" hidden="false" customHeight="false" outlineLevel="0" collapsed="false">
      <c r="A2" s="3" t="s">
        <v>232</v>
      </c>
    </row>
    <row r="3" customFormat="false" ht="15" hidden="false" customHeight="false" outlineLevel="0" collapsed="false">
      <c r="A3" s="7" t="s">
        <v>233</v>
      </c>
      <c r="B3" s="15" t="n">
        <f aca="false">Supuestos!$B$37</f>
        <v>6000000</v>
      </c>
    </row>
    <row r="4" customFormat="false" ht="15" hidden="false" customHeight="false" outlineLevel="0" collapsed="false">
      <c r="A4" s="7" t="s">
        <v>234</v>
      </c>
      <c r="B4" s="14" t="n">
        <f aca="false">Supuestos!$B$45</f>
        <v>7</v>
      </c>
    </row>
    <row r="5" customFormat="false" ht="15" hidden="false" customHeight="false" outlineLevel="0" collapsed="false">
      <c r="A5" s="7" t="s">
        <v>235</v>
      </c>
      <c r="B5" s="14" t="n">
        <f aca="false">Supuestos!$B$46</f>
        <v>5.25</v>
      </c>
    </row>
    <row r="6" customFormat="false" ht="15" hidden="false" customHeight="false" outlineLevel="0" collapsed="false">
      <c r="A6" s="7" t="s">
        <v>236</v>
      </c>
      <c r="B6" s="15" t="n">
        <f aca="false">Supuestos!$B$47</f>
        <v>2641</v>
      </c>
    </row>
    <row r="7" customFormat="false" ht="15" hidden="false" customHeight="false" outlineLevel="0" collapsed="false">
      <c r="A7" s="7" t="s">
        <v>237</v>
      </c>
      <c r="B7" s="15" t="n">
        <f aca="false">Supuestos!$B$48</f>
        <v>3262</v>
      </c>
    </row>
    <row r="8" customFormat="false" ht="15" hidden="false" customHeight="false" outlineLevel="0" collapsed="false">
      <c r="A8" s="7" t="s">
        <v>238</v>
      </c>
      <c r="B8" s="28" t="n">
        <f aca="false">(B4-B5)*B3/1000-B6</f>
        <v>7859</v>
      </c>
    </row>
    <row r="10" customFormat="false" ht="15" hidden="false" customHeight="false" outlineLevel="0" collapsed="false">
      <c r="A10" s="5" t="s">
        <v>239</v>
      </c>
      <c r="B10" s="6"/>
      <c r="C10" s="6"/>
      <c r="D10" s="6"/>
      <c r="E10" s="6"/>
      <c r="F10" s="6"/>
      <c r="G10" s="6"/>
      <c r="H10" s="6"/>
      <c r="I10" s="6"/>
    </row>
    <row r="11" customFormat="false" ht="15" hidden="false" customHeight="false" outlineLevel="0" collapsed="false">
      <c r="A11" s="22" t="s">
        <v>240</v>
      </c>
      <c r="C11" s="29" t="str">
        <f aca="false">Anexos!C3</f>
        <v>C</v>
      </c>
      <c r="D11" s="29" t="str">
        <f aca="false">Anexos!D3</f>
        <v>B</v>
      </c>
      <c r="E11" s="29" t="str">
        <f aca="false">Anexos!E3</f>
        <v>BB</v>
      </c>
      <c r="F11" s="29" t="str">
        <f aca="false">Anexos!F3</f>
        <v>A</v>
      </c>
      <c r="G11" s="29" t="str">
        <f aca="false">Anexos!G3</f>
        <v>AA</v>
      </c>
      <c r="H11" s="29" t="str">
        <f aca="false">Anexos!H3</f>
        <v>AAA</v>
      </c>
    </row>
    <row r="12" customFormat="false" ht="15" hidden="false" customHeight="false" outlineLevel="0" collapsed="false">
      <c r="A12" s="7" t="s">
        <v>241</v>
      </c>
      <c r="C12" s="14" t="n">
        <f aca="false">Anexos!C4</f>
        <v>15.5</v>
      </c>
      <c r="D12" s="14" t="n">
        <f aca="false">Anexos!D4</f>
        <v>21</v>
      </c>
      <c r="E12" s="14" t="n">
        <f aca="false">Anexos!E4</f>
        <v>24</v>
      </c>
      <c r="F12" s="14" t="n">
        <f aca="false">Anexos!F4</f>
        <v>28</v>
      </c>
      <c r="G12" s="14" t="n">
        <f aca="false">Anexos!G4</f>
        <v>31</v>
      </c>
      <c r="H12" s="14" t="n">
        <f aca="false">Anexos!H4</f>
        <v>34</v>
      </c>
    </row>
    <row r="13" customFormat="false" ht="15" hidden="false" customHeight="false" outlineLevel="0" collapsed="false">
      <c r="A13" s="7" t="s">
        <v>242</v>
      </c>
      <c r="C13" s="14" t="n">
        <f aca="false">Anexos!C5</f>
        <v>9.93</v>
      </c>
      <c r="D13" s="14" t="n">
        <f aca="false">Anexos!D5</f>
        <v>11.36</v>
      </c>
      <c r="E13" s="14" t="n">
        <f aca="false">Anexos!E5</f>
        <v>12.96</v>
      </c>
      <c r="F13" s="14" t="n">
        <f aca="false">Anexos!F5</f>
        <v>14.15</v>
      </c>
      <c r="G13" s="14" t="n">
        <f aca="false">Anexos!G5</f>
        <v>15.25</v>
      </c>
      <c r="H13" s="14" t="n">
        <f aca="false">Anexos!H5</f>
        <v>16.26</v>
      </c>
    </row>
    <row r="14" customFormat="false" ht="15" hidden="false" customHeight="false" outlineLevel="0" collapsed="false">
      <c r="A14" s="22" t="s">
        <v>243</v>
      </c>
    </row>
    <row r="15" customFormat="false" ht="15" hidden="false" customHeight="false" outlineLevel="0" collapsed="false">
      <c r="A15" s="17" t="n">
        <f aca="false">Anexos!A10</f>
        <v>0</v>
      </c>
      <c r="C15" s="15" t="n">
        <f aca="false">(C$12-C$13-$A15*C$12)*Anexos!C10/1000-$B$7</f>
        <v>10078.15</v>
      </c>
      <c r="D15" s="15" t="n">
        <f aca="false">(D$12-D$13-$A15*D$12)*Anexos!D10/1000-$B$7</f>
        <v>12595.8</v>
      </c>
      <c r="E15" s="15" t="n">
        <f aca="false">(E$12-E$13-$A15*E$12)*Anexos!E10/1000-$B$7</f>
        <v>13618.16</v>
      </c>
      <c r="F15" s="15" t="n">
        <f aca="false">(F$12-F$13-$A15*F$12)*Anexos!F10/1000-$B$7</f>
        <v>12014.55</v>
      </c>
      <c r="G15" s="15" t="n">
        <f aca="false">(G$12-G$13-$A15*G$12)*Anexos!G10/1000-$B$7</f>
        <v>7243.25</v>
      </c>
      <c r="H15" s="15" t="n">
        <f aca="false">(H$12-H$13-$A15*H$12)*Anexos!H10/1000-$B$7</f>
        <v>-1009.02</v>
      </c>
    </row>
    <row r="16" customFormat="false" ht="15" hidden="false" customHeight="false" outlineLevel="0" collapsed="false">
      <c r="A16" s="17" t="n">
        <f aca="false">Anexos!A11</f>
        <v>0.01</v>
      </c>
      <c r="C16" s="15" t="n">
        <f aca="false">(C$12-C$13-$A16*C$12)*Anexos!C11/1000-$B$7</f>
        <v>10031.825</v>
      </c>
      <c r="D16" s="15" t="n">
        <f aca="false">(D$12-D$13-$A16*D$12)*Anexos!D11/1000-$B$7</f>
        <v>12731.28</v>
      </c>
      <c r="E16" s="15" t="n">
        <f aca="false">(E$12-E$13-$A16*E$12)*Anexos!E11/1000-$B$7</f>
        <v>13650.8</v>
      </c>
      <c r="F16" s="15" t="n">
        <f aca="false">(F$12-F$13-$A16*F$12)*Anexos!F11/1000-$B$7</f>
        <v>12275.65</v>
      </c>
      <c r="G16" s="15" t="n">
        <f aca="false">(G$12-G$13-$A16*G$12)*Anexos!G11/1000-$B$7</f>
        <v>7808.48</v>
      </c>
      <c r="H16" s="15" t="n">
        <f aca="false">(H$12-H$13-$A16*H$12)*Anexos!H11/1000-$B$7</f>
        <v>-530.2</v>
      </c>
    </row>
    <row r="17" customFormat="false" ht="15" hidden="false" customHeight="false" outlineLevel="0" collapsed="false">
      <c r="A17" s="17" t="n">
        <f aca="false">Anexos!A12</f>
        <v>0.02</v>
      </c>
      <c r="C17" s="15" t="n">
        <f aca="false">(C$12-C$13-$A17*C$12)*Anexos!C12/1000-$B$7</f>
        <v>10124.7</v>
      </c>
      <c r="D17" s="15" t="n">
        <f aca="false">(D$12-D$13-$A17*D$12)*Anexos!D12/1000-$B$7</f>
        <v>12602.854</v>
      </c>
      <c r="E17" s="15" t="n">
        <f aca="false">(E$12-E$13-$A17*E$12)*Anexos!E12/1000-$B$7</f>
        <v>14151.44</v>
      </c>
      <c r="F17" s="15" t="n">
        <f aca="false">(F$12-F$13-$A17*F$12)*Anexos!F12/1000-$B$7</f>
        <v>13031.54</v>
      </c>
      <c r="G17" s="15" t="n">
        <f aca="false">(G$12-G$13-$A17*G$12)*Anexos!G12/1000-$B$7</f>
        <v>8826.87</v>
      </c>
      <c r="H17" s="15" t="n">
        <f aca="false">(H$12-H$13-$A17*H$12)*Anexos!H12/1000-$B$7</f>
        <v>644.739999999999</v>
      </c>
    </row>
    <row r="18" customFormat="false" ht="15" hidden="false" customHeight="false" outlineLevel="0" collapsed="false">
      <c r="A18" s="17" t="n">
        <f aca="false">Anexos!A13</f>
        <v>0.03</v>
      </c>
      <c r="C18" s="15" t="n">
        <f aca="false">(C$12-C$13-$A18*C$12)*Anexos!C13/1000-$B$7</f>
        <v>10342.825</v>
      </c>
      <c r="D18" s="15" t="n">
        <f aca="false">(D$12-D$13-$A18*D$12)*Anexos!D13/1000-$B$7</f>
        <v>13820.96</v>
      </c>
      <c r="E18" s="15" t="n">
        <f aca="false">(E$12-E$13-$A18*E$12)*Anexos!E13/1000-$B$7</f>
        <v>14901.2</v>
      </c>
      <c r="F18" s="15" t="n">
        <f aca="false">(F$12-F$13-$A18*F$12)*Anexos!F13/1000-$B$7</f>
        <v>14093.34</v>
      </c>
      <c r="G18" s="15" t="n">
        <f aca="false">(G$12-G$13-$A18*G$12)*Anexos!G13/1000-$B$7</f>
        <v>10224.2</v>
      </c>
      <c r="H18" s="15" t="n">
        <f aca="false">(H$12-H$13-$A18*H$12)*Anexos!H13/1000-$B$7</f>
        <v>2172</v>
      </c>
    </row>
    <row r="19" customFormat="false" ht="15" hidden="false" customHeight="false" outlineLevel="0" collapsed="false">
      <c r="A19" s="17" t="n">
        <f aca="false">Anexos!A14</f>
        <v>0.04</v>
      </c>
      <c r="C19" s="15" t="n">
        <f aca="false">(C$12-C$13-$A19*C$12)*Anexos!C14/1000-$B$7</f>
        <v>10598</v>
      </c>
      <c r="D19" s="15" t="n">
        <f aca="false">(D$12-D$13-$A19*D$12)*Anexos!D14/1000-$B$7</f>
        <v>14549.2</v>
      </c>
      <c r="E19" s="15" t="n">
        <f aca="false">(E$12-E$13-$A19*E$12)*Anexos!E14/1000-$B$7</f>
        <v>15728.72</v>
      </c>
      <c r="F19" s="15" t="n">
        <f aca="false">(F$12-F$13-$A19*F$12)*Anexos!F14/1000-$B$7</f>
        <v>15272.88</v>
      </c>
      <c r="G19" s="15" t="n">
        <f aca="false">(G$12-G$13-$A19*G$12)*Anexos!G14/1000-$B$7</f>
        <v>11741.34</v>
      </c>
      <c r="H19" s="15" t="n">
        <f aca="false">(H$12-H$13-$A19*H$12)*Anexos!H14/1000-$B$7</f>
        <v>3830.54</v>
      </c>
    </row>
    <row r="20" customFormat="false" ht="15" hidden="false" customHeight="false" outlineLevel="0" collapsed="false">
      <c r="A20" s="17" t="n">
        <f aca="false">Anexos!A15</f>
        <v>0.05</v>
      </c>
      <c r="C20" s="15" t="n">
        <f aca="false">(C$12-C$13-$A20*C$12)*Anexos!C15/1000-$B$7</f>
        <v>10883.25</v>
      </c>
      <c r="D20" s="15" t="n">
        <f aca="false">(D$12-D$13-$A20*D$12)*Anexos!D15/1000-$B$7</f>
        <v>15343.94</v>
      </c>
      <c r="E20" s="15" t="n">
        <f aca="false">(E$12-E$13-$A20*E$12)*Anexos!E15/1000-$B$7</f>
        <v>16634.48</v>
      </c>
      <c r="F20" s="15" t="n">
        <f aca="false">(F$12-F$13-$A20*F$12)*Anexos!F15/1000-$B$7</f>
        <v>16545.95</v>
      </c>
      <c r="G20" s="15" t="n">
        <f aca="false">(G$12-G$13-$A20*G$12)*Anexos!G15/1000-$B$7</f>
        <v>13380.4</v>
      </c>
      <c r="H20" s="15" t="n">
        <f aca="false">(H$12-H$13-$A20*H$12)*Anexos!H15/1000-$B$7</f>
        <v>5608.12</v>
      </c>
    </row>
    <row r="21" customFormat="false" ht="15" hidden="false" customHeight="false" outlineLevel="0" collapsed="false">
      <c r="A21" s="17" t="n">
        <f aca="false">Anexos!A16</f>
        <v>0.06</v>
      </c>
      <c r="C21" s="15" t="n">
        <f aca="false">(C$12-C$13-$A21*C$12)*Anexos!C16/1000-$B$7</f>
        <v>11261.2</v>
      </c>
      <c r="D21" s="15" t="n">
        <f aca="false">(D$12-D$13-$A21*D$12)*Anexos!D16/1000-$B$7</f>
        <v>16573.46</v>
      </c>
      <c r="E21" s="15" t="n">
        <f aca="false">(E$12-E$13-$A21*E$12)*Anexos!E16/1000-$B$7</f>
        <v>17445.2</v>
      </c>
      <c r="F21" s="15" t="n">
        <f aca="false">(F$12-F$13-$A21*F$12)*Anexos!F16/1000-$B$7</f>
        <v>17706.91</v>
      </c>
      <c r="G21" s="15" t="n">
        <f aca="false">(G$12-G$13-$A21*G$12)*Anexos!G16/1000-$B$7</f>
        <v>14892.23</v>
      </c>
      <c r="H21" s="15" t="n">
        <f aca="false">(H$12-H$13-$A21*H$12)*Anexos!H16/1000-$B$7</f>
        <v>7209.9</v>
      </c>
    </row>
    <row r="22" customFormat="false" ht="15" hidden="false" customHeight="false" outlineLevel="0" collapsed="false">
      <c r="A22" s="17" t="n">
        <f aca="false">Anexos!A17</f>
        <v>0.07</v>
      </c>
      <c r="C22" s="15" t="n">
        <f aca="false">(C$12-C$13-$A22*C$12)*Anexos!C17/1000-$B$7</f>
        <v>11072.06</v>
      </c>
      <c r="D22" s="15" t="n">
        <f aca="false">(D$12-D$13-$A22*D$12)*Anexos!D17/1000-$B$7</f>
        <v>16484.89</v>
      </c>
      <c r="E22" s="15" t="n">
        <f aca="false">(E$12-E$13-$A22*E$12)*Anexos!E17/1000-$B$7</f>
        <v>17283.2</v>
      </c>
      <c r="F22" s="15" t="n">
        <f aca="false">(F$12-F$13-$A22*F$12)*Anexos!F17/1000-$B$7</f>
        <v>18044.88</v>
      </c>
      <c r="G22" s="15" t="n">
        <f aca="false">(G$12-G$13-$A22*G$12)*Anexos!G17/1000-$B$7</f>
        <v>15003.1</v>
      </c>
      <c r="H22" s="15" t="n">
        <f aca="false">(H$12-H$13-$A22*H$12)*Anexos!H17/1000-$B$7</f>
        <v>7397.84</v>
      </c>
    </row>
    <row r="23" customFormat="false" ht="15" hidden="false" customHeight="false" outlineLevel="0" collapsed="false">
      <c r="A23" s="17" t="n">
        <f aca="false">Anexos!A18</f>
        <v>0.08</v>
      </c>
      <c r="C23" s="15" t="n">
        <f aca="false">(C$12-C$13-$A23*C$12)*Anexos!C18/1000-$B$7</f>
        <v>10888.44</v>
      </c>
      <c r="D23" s="15" t="n">
        <f aca="false">(D$12-D$13-$A23*D$12)*Anexos!D18/1000-$B$7</f>
        <v>16208.16</v>
      </c>
      <c r="E23" s="15" t="n">
        <f aca="false">(E$12-E$13-$A23*E$12)*Anexos!E18/1000-$B$7</f>
        <v>17084.72</v>
      </c>
      <c r="F23" s="15" t="n">
        <f aca="false">(F$12-F$13-$A23*F$12)*Anexos!F18/1000-$B$7</f>
        <v>17903.03</v>
      </c>
      <c r="G23" s="15" t="n">
        <f aca="false">(G$12-G$13-$A23*G$12)*Anexos!G18/1000-$B$7</f>
        <v>14864.82</v>
      </c>
      <c r="H23" s="15" t="n">
        <f aca="false">(H$12-H$13-$A23*H$12)*Anexos!H18/1000-$B$7</f>
        <v>8033.04</v>
      </c>
    </row>
    <row r="24" customFormat="false" ht="15" hidden="false" customHeight="false" outlineLevel="0" collapsed="false">
      <c r="A24" s="17" t="n">
        <f aca="false">Anexos!A19</f>
        <v>0.09</v>
      </c>
      <c r="C24" s="15" t="n">
        <f aca="false">(C$12-C$13-$A24*C$12)*Anexos!C19/1000-$B$7</f>
        <v>10557.25</v>
      </c>
      <c r="D24" s="15" t="n">
        <f aca="false">(D$12-D$13-$A24*D$12)*Anexos!D19/1000-$B$7</f>
        <v>15841.75</v>
      </c>
      <c r="E24" s="15" t="n">
        <f aca="false">(E$12-E$13-$A24*E$12)*Anexos!E19/1000-$B$7</f>
        <v>16789.04</v>
      </c>
      <c r="F24" s="15" t="n">
        <f aca="false">(F$12-F$13-$A24*F$12)*Anexos!F19/1000-$B$7</f>
        <v>17551.21</v>
      </c>
      <c r="G24" s="15" t="n">
        <f aca="false">(G$12-G$13-$A24*G$12)*Anexos!G19/1000-$B$7</f>
        <v>16113.2</v>
      </c>
      <c r="H24" s="15" t="n">
        <f aca="false">(H$12-H$13-$A24*H$12)*Anexos!H19/1000-$B$7</f>
        <v>9583</v>
      </c>
    </row>
    <row r="25" customFormat="false" ht="15" hidden="false" customHeight="false" outlineLevel="0" collapsed="false">
      <c r="A25" s="17" t="n">
        <f aca="false">Anexos!A20</f>
        <v>0.1</v>
      </c>
      <c r="C25" s="15" t="n">
        <f aca="false">(C$12-C$13-$A25*C$12)*Anexos!C20/1000-$B$7</f>
        <v>10164.8</v>
      </c>
      <c r="D25" s="15" t="n">
        <f aca="false">(D$12-D$13-$A25*D$12)*Anexos!D20/1000-$B$7</f>
        <v>15542.76</v>
      </c>
      <c r="E25" s="15" t="n">
        <f aca="false">(E$12-E$13-$A25*E$12)*Anexos!E20/1000-$B$7</f>
        <v>16489.04</v>
      </c>
      <c r="F25" s="15" t="n">
        <f aca="false">(F$12-F$13-$A25*F$12)*Anexos!F20/1000-$B$7</f>
        <v>17103.15</v>
      </c>
      <c r="G25" s="15" t="n">
        <f aca="false">(G$12-G$13-$A25*G$12)*Anexos!G20/1000-$B$7</f>
        <v>16003.95</v>
      </c>
      <c r="H25" s="15" t="n">
        <f aca="false">(H$12-H$13-$A25*H$12)*Anexos!H20/1000-$B$7</f>
        <v>10145.9</v>
      </c>
    </row>
    <row r="28" customFormat="false" ht="15" hidden="false" customHeight="false" outlineLevel="0" collapsed="false">
      <c r="A28" s="5" t="s">
        <v>244</v>
      </c>
      <c r="B28" s="6"/>
      <c r="C28" s="6"/>
      <c r="D28" s="6"/>
      <c r="E28" s="6"/>
      <c r="F28" s="6"/>
      <c r="G28" s="6"/>
      <c r="H28" s="6"/>
      <c r="I28" s="6"/>
    </row>
    <row r="29" customFormat="false" ht="15" hidden="false" customHeight="false" outlineLevel="0" collapsed="false">
      <c r="A29" s="22" t="s">
        <v>240</v>
      </c>
      <c r="C29" s="29" t="str">
        <f aca="false">Anexos!C3</f>
        <v>C</v>
      </c>
      <c r="D29" s="29" t="str">
        <f aca="false">Anexos!D3</f>
        <v>B</v>
      </c>
      <c r="E29" s="29" t="str">
        <f aca="false">Anexos!E3</f>
        <v>BB</v>
      </c>
      <c r="F29" s="29" t="str">
        <f aca="false">Anexos!F3</f>
        <v>A</v>
      </c>
      <c r="G29" s="29" t="str">
        <f aca="false">Anexos!G3</f>
        <v>AA</v>
      </c>
      <c r="H29" s="29" t="str">
        <f aca="false">Anexos!H3</f>
        <v>AAA</v>
      </c>
    </row>
    <row r="30" customFormat="false" ht="15" hidden="false" customHeight="false" outlineLevel="0" collapsed="false">
      <c r="A30" s="7" t="s">
        <v>241</v>
      </c>
      <c r="C30" s="14" t="n">
        <f aca="false">Anexos!C4</f>
        <v>15.5</v>
      </c>
      <c r="D30" s="14" t="n">
        <f aca="false">Anexos!D4</f>
        <v>21</v>
      </c>
      <c r="E30" s="14" t="n">
        <f aca="false">Anexos!E4</f>
        <v>24</v>
      </c>
      <c r="F30" s="14" t="n">
        <f aca="false">Anexos!F4</f>
        <v>28</v>
      </c>
      <c r="G30" s="14" t="n">
        <f aca="false">Anexos!G4</f>
        <v>31</v>
      </c>
      <c r="H30" s="14" t="n">
        <f aca="false">Anexos!H4</f>
        <v>34</v>
      </c>
    </row>
    <row r="31" customFormat="false" ht="15" hidden="false" customHeight="false" outlineLevel="0" collapsed="false">
      <c r="A31" s="7" t="s">
        <v>242</v>
      </c>
      <c r="C31" s="14" t="n">
        <f aca="false">Anexos!C5</f>
        <v>9.93</v>
      </c>
      <c r="D31" s="14" t="n">
        <f aca="false">Anexos!D5</f>
        <v>11.36</v>
      </c>
      <c r="E31" s="14" t="n">
        <f aca="false">Anexos!E5</f>
        <v>12.96</v>
      </c>
      <c r="F31" s="14" t="n">
        <f aca="false">Anexos!F5</f>
        <v>14.15</v>
      </c>
      <c r="G31" s="14" t="n">
        <f aca="false">Anexos!G5</f>
        <v>15.25</v>
      </c>
      <c r="H31" s="14" t="n">
        <f aca="false">Anexos!H5</f>
        <v>16.26</v>
      </c>
    </row>
    <row r="32" customFormat="false" ht="15" hidden="false" customHeight="false" outlineLevel="0" collapsed="false">
      <c r="A32" s="22" t="s">
        <v>243</v>
      </c>
    </row>
    <row r="33" customFormat="false" ht="15" hidden="false" customHeight="false" outlineLevel="0" collapsed="false">
      <c r="A33" s="17" t="n">
        <f aca="false">Anexos!A10</f>
        <v>0</v>
      </c>
      <c r="C33" s="17" t="n">
        <f aca="false">1-Anexos!C10/$B$3</f>
        <v>0.600833333333333</v>
      </c>
      <c r="D33" s="17" t="n">
        <f aca="false">1-Anexos!D10/$B$3</f>
        <v>0.725833333333333</v>
      </c>
      <c r="E33" s="17" t="n">
        <f aca="false">1-Anexos!E10/$B$3</f>
        <v>0.745166666666667</v>
      </c>
      <c r="F33" s="17" t="n">
        <f aca="false">1-Anexos!F10/$B$3</f>
        <v>0.816166666666667</v>
      </c>
      <c r="G33" s="17" t="n">
        <f aca="false">1-Anexos!G10/$B$3</f>
        <v>0.888833333333333</v>
      </c>
      <c r="H33" s="17" t="n">
        <f aca="false">1-Anexos!H10/$B$3</f>
        <v>0.978833333333333</v>
      </c>
    </row>
    <row r="34" customFormat="false" ht="15" hidden="false" customHeight="false" outlineLevel="0" collapsed="false">
      <c r="A34" s="17" t="n">
        <f aca="false">Anexos!A11</f>
        <v>0.01</v>
      </c>
      <c r="C34" s="17" t="n">
        <f aca="false">1-Anexos!C11/$B$3</f>
        <v>0.590833333333333</v>
      </c>
      <c r="D34" s="17" t="n">
        <f aca="false">1-Anexos!D11/$B$3</f>
        <v>0.717333333333333</v>
      </c>
      <c r="E34" s="17" t="n">
        <f aca="false">1-Anexos!E11/$B$3</f>
        <v>0.739</v>
      </c>
      <c r="F34" s="17" t="n">
        <f aca="false">1-Anexos!F11/$B$3</f>
        <v>0.809166666666667</v>
      </c>
      <c r="G34" s="17" t="n">
        <f aca="false">1-Anexos!G11/$B$3</f>
        <v>0.8805</v>
      </c>
      <c r="H34" s="17" t="n">
        <f aca="false">1-Anexos!H11/$B$3</f>
        <v>0.973833333333333</v>
      </c>
    </row>
    <row r="35" customFormat="false" ht="15" hidden="false" customHeight="false" outlineLevel="0" collapsed="false">
      <c r="A35" s="17" t="n">
        <f aca="false">Anexos!A12</f>
        <v>0.02</v>
      </c>
      <c r="C35" s="17" t="n">
        <f aca="false">1-Anexos!C12/$B$3</f>
        <v>0.575833333333333</v>
      </c>
      <c r="D35" s="17" t="n">
        <f aca="false">1-Anexos!D12/$B$3</f>
        <v>0.713216666666667</v>
      </c>
      <c r="E35" s="17" t="n">
        <f aca="false">1-Anexos!E12/$B$3</f>
        <v>0.725166666666667</v>
      </c>
      <c r="F35" s="17" t="n">
        <f aca="false">1-Anexos!F12/$B$3</f>
        <v>0.795666666666667</v>
      </c>
      <c r="G35" s="17" t="n">
        <f aca="false">1-Anexos!G12/$B$3</f>
        <v>0.866833333333333</v>
      </c>
      <c r="H35" s="17" t="n">
        <f aca="false">1-Anexos!H12/$B$3</f>
        <v>0.961833333333333</v>
      </c>
    </row>
    <row r="36" customFormat="false" ht="15" hidden="false" customHeight="false" outlineLevel="0" collapsed="false">
      <c r="A36" s="17" t="n">
        <f aca="false">Anexos!A13</f>
        <v>0.03</v>
      </c>
      <c r="C36" s="17" t="n">
        <f aca="false">1-Anexos!C13/$B$3</f>
        <v>0.555833333333333</v>
      </c>
      <c r="D36" s="17" t="n">
        <f aca="false">1-Anexos!D13/$B$3</f>
        <v>0.684</v>
      </c>
      <c r="E36" s="17" t="n">
        <f aca="false">1-Anexos!E13/$B$3</f>
        <v>0.706666666666667</v>
      </c>
      <c r="F36" s="17" t="n">
        <f aca="false">1-Anexos!F13/$B$3</f>
        <v>0.777666666666667</v>
      </c>
      <c r="G36" s="17" t="n">
        <f aca="false">1-Anexos!G13/$B$3</f>
        <v>0.848333333333333</v>
      </c>
      <c r="H36" s="17" t="n">
        <f aca="false">1-Anexos!H13/$B$3</f>
        <v>0.945833333333333</v>
      </c>
    </row>
    <row r="37" customFormat="false" ht="15" hidden="false" customHeight="false" outlineLevel="0" collapsed="false">
      <c r="A37" s="17" t="n">
        <f aca="false">Anexos!A14</f>
        <v>0.04</v>
      </c>
      <c r="C37" s="17" t="n">
        <f aca="false">1-Anexos!C14/$B$3</f>
        <v>0.533333333333333</v>
      </c>
      <c r="D37" s="17" t="n">
        <f aca="false">1-Anexos!D14/$B$3</f>
        <v>0.662666666666667</v>
      </c>
      <c r="E37" s="17" t="n">
        <f aca="false">1-Anexos!E14/$B$3</f>
        <v>0.686</v>
      </c>
      <c r="F37" s="17" t="n">
        <f aca="false">1-Anexos!F14/$B$3</f>
        <v>0.757333333333333</v>
      </c>
      <c r="G37" s="17" t="n">
        <f aca="false">1-Anexos!G14/$B$3</f>
        <v>0.827666666666667</v>
      </c>
      <c r="H37" s="17" t="n">
        <f aca="false">1-Anexos!H14/$B$3</f>
        <v>0.927833333333333</v>
      </c>
    </row>
    <row r="38" customFormat="false" ht="15" hidden="false" customHeight="false" outlineLevel="0" collapsed="false">
      <c r="A38" s="17" t="n">
        <f aca="false">Anexos!A15</f>
        <v>0.05</v>
      </c>
      <c r="C38" s="17" t="n">
        <f aca="false">1-Anexos!C15/$B$3</f>
        <v>0.508333333333333</v>
      </c>
      <c r="D38" s="17" t="n">
        <f aca="false">1-Anexos!D15/$B$3</f>
        <v>0.639</v>
      </c>
      <c r="E38" s="17" t="n">
        <f aca="false">1-Anexos!E15/$B$3</f>
        <v>0.663</v>
      </c>
      <c r="F38" s="17" t="n">
        <f aca="false">1-Anexos!F15/$B$3</f>
        <v>0.734833333333333</v>
      </c>
      <c r="G38" s="17" t="n">
        <f aca="false">1-Anexos!G15/$B$3</f>
        <v>0.804666666666667</v>
      </c>
      <c r="H38" s="17" t="n">
        <f aca="false">1-Anexos!H15/$B$3</f>
        <v>0.907833333333333</v>
      </c>
    </row>
    <row r="39" customFormat="false" ht="15" hidden="false" customHeight="false" outlineLevel="0" collapsed="false">
      <c r="A39" s="17" t="n">
        <f aca="false">Anexos!A16</f>
        <v>0.06</v>
      </c>
      <c r="C39" s="17" t="n">
        <f aca="false">1-Anexos!C16/$B$3</f>
        <v>0.478333333333333</v>
      </c>
      <c r="D39" s="17" t="n">
        <f aca="false">1-Anexos!D16/$B$3</f>
        <v>0.6055</v>
      </c>
      <c r="E39" s="17" t="n">
        <f aca="false">1-Anexos!E16/$B$3</f>
        <v>0.6405</v>
      </c>
      <c r="F39" s="17" t="n">
        <f aca="false">1-Anexos!F16/$B$3</f>
        <v>0.712833333333333</v>
      </c>
      <c r="G39" s="17" t="n">
        <f aca="false">1-Anexos!G16/$B$3</f>
        <v>0.782166666666667</v>
      </c>
      <c r="H39" s="17" t="n">
        <f aca="false">1-Anexos!H16/$B$3</f>
        <v>0.888833333333333</v>
      </c>
    </row>
    <row r="40" customFormat="false" ht="15" hidden="false" customHeight="false" outlineLevel="0" collapsed="false">
      <c r="A40" s="17" t="n">
        <f aca="false">Anexos!A17</f>
        <v>0.07</v>
      </c>
      <c r="C40" s="17" t="n">
        <f aca="false">1-Anexos!C17/$B$3</f>
        <v>0.467333333333333</v>
      </c>
      <c r="D40" s="17" t="n">
        <f aca="false">1-Anexos!D17/$B$3</f>
        <v>0.597166666666667</v>
      </c>
      <c r="E40" s="17" t="n">
        <f aca="false">1-Anexos!E17/$B$3</f>
        <v>0.634166666666667</v>
      </c>
      <c r="F40" s="17" t="n">
        <f aca="false">1-Anexos!F17/$B$3</f>
        <v>0.701333333333333</v>
      </c>
      <c r="G40" s="17" t="n">
        <f aca="false">1-Anexos!G17/$B$3</f>
        <v>0.775833333333333</v>
      </c>
      <c r="H40" s="17" t="n">
        <f aca="false">1-Anexos!H17/$B$3</f>
        <v>0.884333333333333</v>
      </c>
    </row>
    <row r="41" customFormat="false" ht="15" hidden="false" customHeight="false" outlineLevel="0" collapsed="false">
      <c r="A41" s="17" t="n">
        <f aca="false">Anexos!A18</f>
        <v>0.08</v>
      </c>
      <c r="C41" s="17" t="n">
        <f aca="false">1-Anexos!C18/$B$3</f>
        <v>0.455333333333333</v>
      </c>
      <c r="D41" s="17" t="n">
        <f aca="false">1-Anexos!D18/$B$3</f>
        <v>0.592333333333333</v>
      </c>
      <c r="E41" s="17" t="n">
        <f aca="false">1-Anexos!E18/$B$3</f>
        <v>0.628166666666667</v>
      </c>
      <c r="F41" s="17" t="n">
        <f aca="false">1-Anexos!F18/$B$3</f>
        <v>0.696166666666667</v>
      </c>
      <c r="G41" s="17" t="n">
        <f aca="false">1-Anexos!G18/$B$3</f>
        <v>0.772333333333333</v>
      </c>
      <c r="H41" s="17" t="n">
        <f aca="false">1-Anexos!H18/$B$3</f>
        <v>0.874666666666667</v>
      </c>
    </row>
    <row r="42" customFormat="false" ht="15" hidden="false" customHeight="false" outlineLevel="0" collapsed="false">
      <c r="A42" s="17" t="n">
        <f aca="false">Anexos!A19</f>
        <v>0.09</v>
      </c>
      <c r="C42" s="17" t="n">
        <f aca="false">1-Anexos!C19/$B$3</f>
        <v>0.448333333333333</v>
      </c>
      <c r="D42" s="17" t="n">
        <f aca="false">1-Anexos!D19/$B$3</f>
        <v>0.589166666666667</v>
      </c>
      <c r="E42" s="17" t="n">
        <f aca="false">1-Anexos!E19/$B$3</f>
        <v>0.623666666666667</v>
      </c>
      <c r="F42" s="17" t="n">
        <f aca="false">1-Anexos!F19/$B$3</f>
        <v>0.693833333333333</v>
      </c>
      <c r="G42" s="17" t="n">
        <f aca="false">1-Anexos!G19/$B$3</f>
        <v>0.750833333333333</v>
      </c>
      <c r="H42" s="17" t="n">
        <f aca="false">1-Anexos!H19/$B$3</f>
        <v>0.854166666666667</v>
      </c>
    </row>
    <row r="43" customFormat="false" ht="15" hidden="false" customHeight="false" outlineLevel="0" collapsed="false">
      <c r="A43" s="17" t="n">
        <f aca="false">Anexos!A20</f>
        <v>0.1</v>
      </c>
      <c r="C43" s="17" t="n">
        <f aca="false">1-Anexos!C20/$B$3</f>
        <v>0.443333333333333</v>
      </c>
      <c r="D43" s="17" t="n">
        <f aca="false">1-Anexos!D20/$B$3</f>
        <v>0.584333333333333</v>
      </c>
      <c r="E43" s="17" t="n">
        <f aca="false">1-Anexos!E20/$B$3</f>
        <v>0.619</v>
      </c>
      <c r="F43" s="17" t="n">
        <f aca="false">1-Anexos!F20/$B$3</f>
        <v>0.692833333333333</v>
      </c>
      <c r="G43" s="17" t="n">
        <f aca="false">1-Anexos!G20/$B$3</f>
        <v>0.746166666666667</v>
      </c>
      <c r="H43" s="17" t="n">
        <f aca="false">1-Anexos!H20/$B$3</f>
        <v>0.844166666666667</v>
      </c>
    </row>
    <row r="46" customFormat="false" ht="15" hidden="false" customHeight="false" outlineLevel="0" collapsed="false">
      <c r="A46" s="5" t="s">
        <v>245</v>
      </c>
      <c r="B46" s="6"/>
      <c r="C46" s="6"/>
      <c r="D46" s="6"/>
      <c r="E46" s="6"/>
      <c r="F46" s="6"/>
      <c r="G46" s="6"/>
      <c r="H46" s="6"/>
      <c r="I46" s="6"/>
    </row>
    <row r="47" customFormat="false" ht="15" hidden="false" customHeight="false" outlineLevel="0" collapsed="false">
      <c r="A47" s="22" t="s">
        <v>240</v>
      </c>
      <c r="C47" s="29" t="str">
        <f aca="false">Anexos!C3</f>
        <v>C</v>
      </c>
      <c r="D47" s="29" t="str">
        <f aca="false">Anexos!D3</f>
        <v>B</v>
      </c>
      <c r="E47" s="29" t="str">
        <f aca="false">Anexos!E3</f>
        <v>BB</v>
      </c>
      <c r="F47" s="29" t="str">
        <f aca="false">Anexos!F3</f>
        <v>A</v>
      </c>
      <c r="G47" s="29" t="str">
        <f aca="false">Anexos!G3</f>
        <v>AA</v>
      </c>
      <c r="H47" s="29" t="str">
        <f aca="false">Anexos!H3</f>
        <v>AAA</v>
      </c>
    </row>
    <row r="48" customFormat="false" ht="15" hidden="false" customHeight="false" outlineLevel="0" collapsed="false">
      <c r="A48" s="7" t="s">
        <v>241</v>
      </c>
      <c r="C48" s="14" t="n">
        <f aca="false">Anexos!C4</f>
        <v>15.5</v>
      </c>
      <c r="D48" s="14" t="n">
        <f aca="false">Anexos!D4</f>
        <v>21</v>
      </c>
      <c r="E48" s="14" t="n">
        <f aca="false">Anexos!E4</f>
        <v>24</v>
      </c>
      <c r="F48" s="14" t="n">
        <f aca="false">Anexos!F4</f>
        <v>28</v>
      </c>
      <c r="G48" s="14" t="n">
        <f aca="false">Anexos!G4</f>
        <v>31</v>
      </c>
      <c r="H48" s="14" t="n">
        <f aca="false">Anexos!H4</f>
        <v>34</v>
      </c>
    </row>
    <row r="49" customFormat="false" ht="15" hidden="false" customHeight="false" outlineLevel="0" collapsed="false">
      <c r="A49" s="7" t="s">
        <v>242</v>
      </c>
      <c r="C49" s="14" t="n">
        <f aca="false">Anexos!C5</f>
        <v>9.93</v>
      </c>
      <c r="D49" s="14" t="n">
        <f aca="false">Anexos!D5</f>
        <v>11.36</v>
      </c>
      <c r="E49" s="14" t="n">
        <f aca="false">Anexos!E5</f>
        <v>12.96</v>
      </c>
      <c r="F49" s="14" t="n">
        <f aca="false">Anexos!F5</f>
        <v>14.15</v>
      </c>
      <c r="G49" s="14" t="n">
        <f aca="false">Anexos!G5</f>
        <v>15.25</v>
      </c>
      <c r="H49" s="14" t="n">
        <f aca="false">Anexos!H5</f>
        <v>16.26</v>
      </c>
    </row>
    <row r="50" customFormat="false" ht="15" hidden="false" customHeight="false" outlineLevel="0" collapsed="false">
      <c r="A50" s="22" t="s">
        <v>243</v>
      </c>
    </row>
    <row r="51" customFormat="false" ht="15" hidden="false" customHeight="false" outlineLevel="0" collapsed="false">
      <c r="A51" s="17" t="n">
        <f aca="false">Anexos!A10</f>
        <v>0</v>
      </c>
      <c r="C51" s="15" t="n">
        <f aca="false">(C$48-C$49-$A51*C$48)*Anexos!C10/1000+($B$4-$B$5)*($B$3-Anexos!C10)/1000-$B$7</f>
        <v>16386.9</v>
      </c>
      <c r="D51" s="15" t="n">
        <f aca="false">(D$48-D$49-$A51*D$48)*Anexos!D10/1000+($B$4-$B$5)*($B$3-Anexos!D10)/1000-$B$7</f>
        <v>20217.05</v>
      </c>
      <c r="E51" s="15" t="n">
        <f aca="false">(E$48-E$49-$A51*E$48)*Anexos!E10/1000+($B$4-$B$5)*($B$3-Anexos!E10)/1000-$B$7</f>
        <v>21442.41</v>
      </c>
      <c r="F51" s="15" t="n">
        <f aca="false">(F$48-F$49-$A51*F$48)*Anexos!F10/1000+($B$4-$B$5)*($B$3-Anexos!F10)/1000-$B$7</f>
        <v>20584.3</v>
      </c>
      <c r="G51" s="15" t="n">
        <f aca="false">(G$48-G$49-$A51*G$48)*Anexos!G10/1000+($B$4-$B$5)*($B$3-Anexos!G10)/1000-$B$7</f>
        <v>16576</v>
      </c>
      <c r="H51" s="15" t="n">
        <f aca="false">(H$48-H$49-$A51*H$48)*Anexos!H10/1000+($B$4-$B$5)*($B$3-Anexos!H10)/1000-$B$7</f>
        <v>9268.73</v>
      </c>
    </row>
    <row r="52" customFormat="false" ht="15" hidden="false" customHeight="false" outlineLevel="0" collapsed="false">
      <c r="A52" s="17" t="n">
        <f aca="false">Anexos!A11</f>
        <v>0.01</v>
      </c>
      <c r="C52" s="15" t="n">
        <f aca="false">(C$48-C$49-$A52*C$48)*Anexos!C11/1000+($B$4-$B$5)*($B$3-Anexos!C11)/1000-$B$7</f>
        <v>16235.575</v>
      </c>
      <c r="D52" s="15" t="n">
        <f aca="false">(D$48-D$49-$A52*D$48)*Anexos!D11/1000+($B$4-$B$5)*($B$3-Anexos!D11)/1000-$B$7</f>
        <v>20263.28</v>
      </c>
      <c r="E52" s="15" t="n">
        <f aca="false">(E$48-E$49-$A52*E$48)*Anexos!E11/1000+($B$4-$B$5)*($B$3-Anexos!E11)/1000-$B$7</f>
        <v>21410.3</v>
      </c>
      <c r="F52" s="15" t="n">
        <f aca="false">(F$48-F$49-$A52*F$48)*Anexos!F11/1000+($B$4-$B$5)*($B$3-Anexos!F11)/1000-$B$7</f>
        <v>20771.9</v>
      </c>
      <c r="G52" s="15" t="n">
        <f aca="false">(G$48-G$49-$A52*G$48)*Anexos!G11/1000+($B$4-$B$5)*($B$3-Anexos!G11)/1000-$B$7</f>
        <v>17053.73</v>
      </c>
      <c r="H52" s="15" t="n">
        <f aca="false">(H$48-H$49-$A52*H$48)*Anexos!H11/1000+($B$4-$B$5)*($B$3-Anexos!H11)/1000-$B$7</f>
        <v>9695.05</v>
      </c>
    </row>
    <row r="53" customFormat="false" ht="15" hidden="false" customHeight="false" outlineLevel="0" collapsed="false">
      <c r="A53" s="17" t="n">
        <f aca="false">Anexos!A12</f>
        <v>0.02</v>
      </c>
      <c r="C53" s="15" t="n">
        <f aca="false">(C$48-C$49-$A53*C$48)*Anexos!C12/1000+($B$4-$B$5)*($B$3-Anexos!C12)/1000-$B$7</f>
        <v>16170.95</v>
      </c>
      <c r="D53" s="15" t="n">
        <f aca="false">(D$48-D$49-$A53*D$48)*Anexos!D12/1000+($B$4-$B$5)*($B$3-Anexos!D12)/1000-$B$7</f>
        <v>20091.629</v>
      </c>
      <c r="E53" s="15" t="n">
        <f aca="false">(E$48-E$49-$A53*E$48)*Anexos!E12/1000+($B$4-$B$5)*($B$3-Anexos!E12)/1000-$B$7</f>
        <v>21765.69</v>
      </c>
      <c r="F53" s="15" t="n">
        <f aca="false">(F$48-F$49-$A53*F$48)*Anexos!F12/1000+($B$4-$B$5)*($B$3-Anexos!F12)/1000-$B$7</f>
        <v>21386.04</v>
      </c>
      <c r="G53" s="15" t="n">
        <f aca="false">(G$48-G$49-$A53*G$48)*Anexos!G12/1000+($B$4-$B$5)*($B$3-Anexos!G12)/1000-$B$7</f>
        <v>17928.62</v>
      </c>
      <c r="H53" s="15" t="n">
        <f aca="false">(H$48-H$49-$A53*H$48)*Anexos!H12/1000+($B$4-$B$5)*($B$3-Anexos!H12)/1000-$B$7</f>
        <v>10743.99</v>
      </c>
    </row>
    <row r="54" customFormat="false" ht="15" hidden="false" customHeight="false" outlineLevel="0" collapsed="false">
      <c r="A54" s="17" t="n">
        <f aca="false">Anexos!A13</f>
        <v>0.03</v>
      </c>
      <c r="C54" s="15" t="n">
        <f aca="false">(C$48-C$49-$A54*C$48)*Anexos!C13/1000+($B$4-$B$5)*($B$3-Anexos!C13)/1000-$B$7</f>
        <v>16179.075</v>
      </c>
      <c r="D54" s="15" t="n">
        <f aca="false">(D$48-D$49-$A54*D$48)*Anexos!D13/1000+($B$4-$B$5)*($B$3-Anexos!D13)/1000-$B$7</f>
        <v>21002.96</v>
      </c>
      <c r="E54" s="15" t="n">
        <f aca="false">(E$48-E$49-$A54*E$48)*Anexos!E13/1000+($B$4-$B$5)*($B$3-Anexos!E13)/1000-$B$7</f>
        <v>22321.2</v>
      </c>
      <c r="F54" s="15" t="n">
        <f aca="false">(F$48-F$49-$A54*F$48)*Anexos!F13/1000+($B$4-$B$5)*($B$3-Anexos!F13)/1000-$B$7</f>
        <v>22258.84</v>
      </c>
      <c r="G54" s="15" t="n">
        <f aca="false">(G$48-G$49-$A54*G$48)*Anexos!G13/1000+($B$4-$B$5)*($B$3-Anexos!G13)/1000-$B$7</f>
        <v>19131.7</v>
      </c>
      <c r="H54" s="15" t="n">
        <f aca="false">(H$48-H$49-$A54*H$48)*Anexos!H13/1000+($B$4-$B$5)*($B$3-Anexos!H13)/1000-$B$7</f>
        <v>12103.25</v>
      </c>
    </row>
    <row r="55" customFormat="false" ht="15" hidden="false" customHeight="false" outlineLevel="0" collapsed="false">
      <c r="A55" s="17" t="n">
        <f aca="false">Anexos!A14</f>
        <v>0.04</v>
      </c>
      <c r="C55" s="15" t="n">
        <f aca="false">(C$48-C$49-$A55*C$48)*Anexos!C14/1000+($B$4-$B$5)*($B$3-Anexos!C14)/1000-$B$7</f>
        <v>16198</v>
      </c>
      <c r="D55" s="15" t="n">
        <f aca="false">(D$48-D$49-$A55*D$48)*Anexos!D14/1000+($B$4-$B$5)*($B$3-Anexos!D14)/1000-$B$7</f>
        <v>21507.2</v>
      </c>
      <c r="E55" s="15" t="n">
        <f aca="false">(E$48-E$49-$A55*E$48)*Anexos!E14/1000+($B$4-$B$5)*($B$3-Anexos!E14)/1000-$B$7</f>
        <v>22931.72</v>
      </c>
      <c r="F55" s="15" t="n">
        <f aca="false">(F$48-F$49-$A55*F$48)*Anexos!F14/1000+($B$4-$B$5)*($B$3-Anexos!F14)/1000-$B$7</f>
        <v>23224.88</v>
      </c>
      <c r="G55" s="15" t="n">
        <f aca="false">(G$48-G$49-$A55*G$48)*Anexos!G14/1000+($B$4-$B$5)*($B$3-Anexos!G14)/1000-$B$7</f>
        <v>20431.84</v>
      </c>
      <c r="H55" s="15" t="n">
        <f aca="false">(H$48-H$49-$A55*H$48)*Anexos!H14/1000+($B$4-$B$5)*($B$3-Anexos!H14)/1000-$B$7</f>
        <v>13572.79</v>
      </c>
    </row>
    <row r="56" customFormat="false" ht="15" hidden="false" customHeight="false" outlineLevel="0" collapsed="false">
      <c r="A56" s="17" t="n">
        <f aca="false">Anexos!A15</f>
        <v>0.05</v>
      </c>
      <c r="C56" s="15" t="n">
        <f aca="false">(C$48-C$49-$A56*C$48)*Anexos!C15/1000+($B$4-$B$5)*($B$3-Anexos!C15)/1000-$B$7</f>
        <v>16220.75</v>
      </c>
      <c r="D56" s="15" t="n">
        <f aca="false">(D$48-D$49-$A56*D$48)*Anexos!D15/1000+($B$4-$B$5)*($B$3-Anexos!D15)/1000-$B$7</f>
        <v>22053.44</v>
      </c>
      <c r="E56" s="15" t="n">
        <f aca="false">(E$48-E$49-$A56*E$48)*Anexos!E15/1000+($B$4-$B$5)*($B$3-Anexos!E15)/1000-$B$7</f>
        <v>23595.98</v>
      </c>
      <c r="F56" s="15" t="n">
        <f aca="false">(F$48-F$49-$A56*F$48)*Anexos!F15/1000+($B$4-$B$5)*($B$3-Anexos!F15)/1000-$B$7</f>
        <v>24261.7</v>
      </c>
      <c r="G56" s="15" t="n">
        <f aca="false">(G$48-G$49-$A56*G$48)*Anexos!G15/1000+($B$4-$B$5)*($B$3-Anexos!G15)/1000-$B$7</f>
        <v>21829.4</v>
      </c>
      <c r="H56" s="15" t="n">
        <f aca="false">(H$48-H$49-$A56*H$48)*Anexos!H15/1000+($B$4-$B$5)*($B$3-Anexos!H15)/1000-$B$7</f>
        <v>15140.37</v>
      </c>
    </row>
    <row r="57" customFormat="false" ht="15" hidden="false" customHeight="false" outlineLevel="0" collapsed="false">
      <c r="A57" s="17" t="n">
        <f aca="false">Anexos!A16</f>
        <v>0.06</v>
      </c>
      <c r="C57" s="15" t="n">
        <f aca="false">(C$48-C$49-$A57*C$48)*Anexos!C16/1000+($B$4-$B$5)*($B$3-Anexos!C16)/1000-$B$7</f>
        <v>16283.7</v>
      </c>
      <c r="D57" s="15" t="n">
        <f aca="false">(D$48-D$49-$A57*D$48)*Anexos!D16/1000+($B$4-$B$5)*($B$3-Anexos!D16)/1000-$B$7</f>
        <v>22931.21</v>
      </c>
      <c r="E57" s="15" t="n">
        <f aca="false">(E$48-E$49-$A57*E$48)*Anexos!E16/1000+($B$4-$B$5)*($B$3-Anexos!E16)/1000-$B$7</f>
        <v>24170.45</v>
      </c>
      <c r="F57" s="15" t="n">
        <f aca="false">(F$48-F$49-$A57*F$48)*Anexos!F16/1000+($B$4-$B$5)*($B$3-Anexos!F16)/1000-$B$7</f>
        <v>25191.66</v>
      </c>
      <c r="G57" s="15" t="n">
        <f aca="false">(G$48-G$49-$A57*G$48)*Anexos!G16/1000+($B$4-$B$5)*($B$3-Anexos!G16)/1000-$B$7</f>
        <v>23104.98</v>
      </c>
      <c r="H57" s="15" t="n">
        <f aca="false">(H$48-H$49-$A57*H$48)*Anexos!H16/1000+($B$4-$B$5)*($B$3-Anexos!H16)/1000-$B$7</f>
        <v>16542.65</v>
      </c>
    </row>
    <row r="58" customFormat="false" ht="15" hidden="false" customHeight="false" outlineLevel="0" collapsed="false">
      <c r="A58" s="17" t="n">
        <f aca="false">Anexos!A17</f>
        <v>0.07</v>
      </c>
      <c r="C58" s="15" t="n">
        <f aca="false">(C$48-C$49-$A58*C$48)*Anexos!C17/1000+($B$4-$B$5)*($B$3-Anexos!C17)/1000-$B$7</f>
        <v>15979.06</v>
      </c>
      <c r="D58" s="15" t="n">
        <f aca="false">(D$48-D$49-$A58*D$48)*Anexos!D17/1000+($B$4-$B$5)*($B$3-Anexos!D17)/1000-$B$7</f>
        <v>22755.14</v>
      </c>
      <c r="E58" s="15" t="n">
        <f aca="false">(E$48-E$49-$A58*E$48)*Anexos!E17/1000+($B$4-$B$5)*($B$3-Anexos!E17)/1000-$B$7</f>
        <v>23941.95</v>
      </c>
      <c r="F58" s="15" t="n">
        <f aca="false">(F$48-F$49-$A58*F$48)*Anexos!F17/1000+($B$4-$B$5)*($B$3-Anexos!F17)/1000-$B$7</f>
        <v>25408.88</v>
      </c>
      <c r="G58" s="15" t="n">
        <f aca="false">(G$48-G$49-$A58*G$48)*Anexos!G17/1000+($B$4-$B$5)*($B$3-Anexos!G17)/1000-$B$7</f>
        <v>23149.35</v>
      </c>
      <c r="H58" s="15" t="n">
        <f aca="false">(H$48-H$49-$A58*H$48)*Anexos!H17/1000+($B$4-$B$5)*($B$3-Anexos!H17)/1000-$B$7</f>
        <v>16683.34</v>
      </c>
    </row>
    <row r="59" customFormat="false" ht="15" hidden="false" customHeight="false" outlineLevel="0" collapsed="false">
      <c r="A59" s="17" t="n">
        <f aca="false">Anexos!A18</f>
        <v>0.08</v>
      </c>
      <c r="C59" s="15" t="n">
        <f aca="false">(C$48-C$49-$A59*C$48)*Anexos!C18/1000+($B$4-$B$5)*($B$3-Anexos!C18)/1000-$B$7</f>
        <v>15669.44</v>
      </c>
      <c r="D59" s="15" t="n">
        <f aca="false">(D$48-D$49-$A59*D$48)*Anexos!D18/1000+($B$4-$B$5)*($B$3-Anexos!D18)/1000-$B$7</f>
        <v>22427.66</v>
      </c>
      <c r="E59" s="15" t="n">
        <f aca="false">(E$48-E$49-$A59*E$48)*Anexos!E18/1000+($B$4-$B$5)*($B$3-Anexos!E18)/1000-$B$7</f>
        <v>23680.47</v>
      </c>
      <c r="F59" s="15" t="n">
        <f aca="false">(F$48-F$49-$A59*F$48)*Anexos!F18/1000+($B$4-$B$5)*($B$3-Anexos!F18)/1000-$B$7</f>
        <v>25212.78</v>
      </c>
      <c r="G59" s="15" t="n">
        <f aca="false">(G$48-G$49-$A59*G$48)*Anexos!G18/1000+($B$4-$B$5)*($B$3-Anexos!G18)/1000-$B$7</f>
        <v>22974.32</v>
      </c>
      <c r="H59" s="15" t="n">
        <f aca="false">(H$48-H$49-$A59*H$48)*Anexos!H18/1000+($B$4-$B$5)*($B$3-Anexos!H18)/1000-$B$7</f>
        <v>17217.04</v>
      </c>
    </row>
    <row r="60" customFormat="false" ht="15" hidden="false" customHeight="false" outlineLevel="0" collapsed="false">
      <c r="A60" s="17" t="n">
        <f aca="false">Anexos!A19</f>
        <v>0.09</v>
      </c>
      <c r="C60" s="15" t="n">
        <f aca="false">(C$48-C$49-$A60*C$48)*Anexos!C19/1000+($B$4-$B$5)*($B$3-Anexos!C19)/1000-$B$7</f>
        <v>15264.75</v>
      </c>
      <c r="D60" s="15" t="n">
        <f aca="false">(D$48-D$49-$A60*D$48)*Anexos!D19/1000+($B$4-$B$5)*($B$3-Anexos!D19)/1000-$B$7</f>
        <v>22028</v>
      </c>
      <c r="E60" s="15" t="n">
        <f aca="false">(E$48-E$49-$A60*E$48)*Anexos!E19/1000+($B$4-$B$5)*($B$3-Anexos!E19)/1000-$B$7</f>
        <v>23337.54</v>
      </c>
      <c r="F60" s="15" t="n">
        <f aca="false">(F$48-F$49-$A60*F$48)*Anexos!F19/1000+($B$4-$B$5)*($B$3-Anexos!F19)/1000-$B$7</f>
        <v>24836.46</v>
      </c>
      <c r="G60" s="15" t="n">
        <f aca="false">(G$48-G$49-$A60*G$48)*Anexos!G19/1000+($B$4-$B$5)*($B$3-Anexos!G19)/1000-$B$7</f>
        <v>23996.95</v>
      </c>
      <c r="H60" s="15" t="n">
        <f aca="false">(H$48-H$49-$A60*H$48)*Anexos!H19/1000+($B$4-$B$5)*($B$3-Anexos!H19)/1000-$B$7</f>
        <v>18551.75</v>
      </c>
    </row>
    <row r="61" customFormat="false" ht="15" hidden="false" customHeight="false" outlineLevel="0" collapsed="false">
      <c r="A61" s="17" t="n">
        <f aca="false">Anexos!A20</f>
        <v>0.1</v>
      </c>
      <c r="C61" s="15" t="n">
        <f aca="false">(C$48-C$49-$A61*C$48)*Anexos!C20/1000+($B$4-$B$5)*($B$3-Anexos!C20)/1000-$B$7</f>
        <v>14819.8</v>
      </c>
      <c r="D61" s="15" t="n">
        <f aca="false">(D$48-D$49-$A61*D$48)*Anexos!D20/1000+($B$4-$B$5)*($B$3-Anexos!D20)/1000-$B$7</f>
        <v>21678.26</v>
      </c>
      <c r="E61" s="15" t="n">
        <f aca="false">(E$48-E$49-$A61*E$48)*Anexos!E20/1000+($B$4-$B$5)*($B$3-Anexos!E20)/1000-$B$7</f>
        <v>22988.54</v>
      </c>
      <c r="F61" s="15" t="n">
        <f aca="false">(F$48-F$49-$A61*F$48)*Anexos!F20/1000+($B$4-$B$5)*($B$3-Anexos!F20)/1000-$B$7</f>
        <v>24377.9</v>
      </c>
      <c r="G61" s="15" t="n">
        <f aca="false">(G$48-G$49-$A61*G$48)*Anexos!G20/1000+($B$4-$B$5)*($B$3-Anexos!G20)/1000-$B$7</f>
        <v>23838.7</v>
      </c>
      <c r="H61" s="15" t="n">
        <f aca="false">(H$48-H$49-$A61*H$48)*Anexos!H20/1000+($B$4-$B$5)*($B$3-Anexos!H20)/1000-$B$7</f>
        <v>19009.65</v>
      </c>
    </row>
    <row r="64" customFormat="false" ht="15" hidden="false" customHeight="false" outlineLevel="0" collapsed="false">
      <c r="A64" s="5" t="s">
        <v>246</v>
      </c>
      <c r="B64" s="6"/>
      <c r="C64" s="6"/>
      <c r="D64" s="6"/>
      <c r="E64" s="6"/>
      <c r="F64" s="6"/>
      <c r="G64" s="6"/>
      <c r="H64" s="6"/>
      <c r="I64" s="6"/>
    </row>
    <row r="65" customFormat="false" ht="15" hidden="false" customHeight="false" outlineLevel="0" collapsed="false">
      <c r="A65" s="22" t="s">
        <v>240</v>
      </c>
      <c r="C65" s="29" t="str">
        <f aca="false">Anexos!C3</f>
        <v>C</v>
      </c>
      <c r="D65" s="29" t="str">
        <f aca="false">Anexos!D3</f>
        <v>B</v>
      </c>
      <c r="E65" s="29" t="str">
        <f aca="false">Anexos!E3</f>
        <v>BB</v>
      </c>
      <c r="F65" s="29" t="str">
        <f aca="false">Anexos!F3</f>
        <v>A</v>
      </c>
      <c r="G65" s="29" t="str">
        <f aca="false">Anexos!G3</f>
        <v>AA</v>
      </c>
      <c r="H65" s="29" t="str">
        <f aca="false">Anexos!H3</f>
        <v>AAA</v>
      </c>
    </row>
    <row r="66" customFormat="false" ht="15" hidden="false" customHeight="false" outlineLevel="0" collapsed="false">
      <c r="A66" s="7" t="s">
        <v>247</v>
      </c>
      <c r="C66" s="11" t="n">
        <f aca="false">MAX(C51:C61)</f>
        <v>16386.9</v>
      </c>
      <c r="D66" s="11" t="n">
        <f aca="false">MAX(D51:D61)</f>
        <v>22931.21</v>
      </c>
      <c r="E66" s="11" t="n">
        <f aca="false">MAX(E51:E61)</f>
        <v>24170.45</v>
      </c>
      <c r="F66" s="11" t="n">
        <f aca="false">MAX(F51:F61)</f>
        <v>25408.88</v>
      </c>
      <c r="G66" s="11" t="n">
        <f aca="false">MAX(G51:G61)</f>
        <v>23996.95</v>
      </c>
      <c r="H66" s="11" t="n">
        <f aca="false">MAX(H51:H61)</f>
        <v>19009.65</v>
      </c>
    </row>
    <row r="67" customFormat="false" ht="15" hidden="false" customHeight="false" outlineLevel="0" collapsed="false">
      <c r="A67" s="7" t="s">
        <v>248</v>
      </c>
      <c r="C67" s="19" t="n">
        <f aca="false">INDEX($A$51:$A$61,MATCH(C66,C51:C61,0))</f>
        <v>0</v>
      </c>
      <c r="D67" s="19" t="n">
        <f aca="false">INDEX($A$51:$A$61,MATCH(D66,D51:D61,0))</f>
        <v>0.06</v>
      </c>
      <c r="E67" s="19" t="n">
        <f aca="false">INDEX($A$51:$A$61,MATCH(E66,E51:E61,0))</f>
        <v>0.06</v>
      </c>
      <c r="F67" s="19" t="n">
        <f aca="false">INDEX($A$51:$A$61,MATCH(F66,F51:F61,0))</f>
        <v>0.07</v>
      </c>
      <c r="G67" s="19" t="n">
        <f aca="false">INDEX($A$51:$A$61,MATCH(G66,G51:G61,0))</f>
        <v>0.09</v>
      </c>
      <c r="H67" s="19" t="n">
        <f aca="false">INDEX($A$51:$A$61,MATCH(H66,H51:H61,0))</f>
        <v>0.1</v>
      </c>
    </row>
    <row r="68" customFormat="false" ht="15" hidden="false" customHeight="false" outlineLevel="0" collapsed="false">
      <c r="A68" s="7" t="s">
        <v>249</v>
      </c>
      <c r="C68" s="15" t="n">
        <f aca="false">INDEX(Anexos!C$10:C$20,MATCH(C66,C51:C61,0))</f>
        <v>2395000</v>
      </c>
      <c r="D68" s="15" t="n">
        <f aca="false">INDEX(Anexos!D$10:D$20,MATCH(D66,D51:D61,0))</f>
        <v>2367000</v>
      </c>
      <c r="E68" s="15" t="n">
        <f aca="false">INDEX(Anexos!E$10:E$20,MATCH(E66,E51:E61,0))</f>
        <v>2157000</v>
      </c>
      <c r="F68" s="15" t="n">
        <f aca="false">INDEX(Anexos!F$10:F$20,MATCH(F66,F51:F61,0))</f>
        <v>1792000</v>
      </c>
      <c r="G68" s="15" t="n">
        <f aca="false">INDEX(Anexos!G$10:G$20,MATCH(G66,G51:G61,0))</f>
        <v>1495000</v>
      </c>
      <c r="H68" s="15" t="n">
        <f aca="false">INDEX(Anexos!H$10:H$20,MATCH(H66,H51:H61,0))</f>
        <v>935000</v>
      </c>
    </row>
    <row r="69" customFormat="false" ht="15" hidden="false" customHeight="false" outlineLevel="0" collapsed="false">
      <c r="A69" s="7" t="s">
        <v>250</v>
      </c>
      <c r="C69" s="11" t="n">
        <f aca="false">$B$3-C68</f>
        <v>3605000</v>
      </c>
      <c r="D69" s="11" t="n">
        <f aca="false">$B$3-D68</f>
        <v>3633000</v>
      </c>
      <c r="E69" s="11" t="n">
        <f aca="false">$B$3-E68</f>
        <v>3843000</v>
      </c>
      <c r="F69" s="11" t="n">
        <f aca="false">$B$3-F68</f>
        <v>4208000</v>
      </c>
      <c r="G69" s="11" t="n">
        <f aca="false">$B$3-G68</f>
        <v>4505000</v>
      </c>
      <c r="H69" s="11" t="n">
        <f aca="false">$B$3-H68</f>
        <v>5065000</v>
      </c>
    </row>
    <row r="70" customFormat="false" ht="15" hidden="false" customHeight="false" outlineLevel="0" collapsed="false">
      <c r="A70" s="7" t="s">
        <v>251</v>
      </c>
      <c r="C70" s="11" t="n">
        <f aca="false">MAX(C15:C25)</f>
        <v>11261.2</v>
      </c>
      <c r="D70" s="11" t="n">
        <f aca="false">MAX(D15:D25)</f>
        <v>16573.46</v>
      </c>
      <c r="E70" s="11" t="n">
        <f aca="false">MAX(E15:E25)</f>
        <v>17445.2</v>
      </c>
      <c r="F70" s="11" t="n">
        <f aca="false">MAX(F15:F25)</f>
        <v>18044.88</v>
      </c>
      <c r="G70" s="11" t="n">
        <f aca="false">MAX(G15:G25)</f>
        <v>16113.2</v>
      </c>
      <c r="H70" s="11" t="n">
        <f aca="false">MAX(H15:H25)</f>
        <v>10145.9</v>
      </c>
    </row>
    <row r="71" customFormat="false" ht="15" hidden="false" customHeight="false" outlineLevel="0" collapsed="false">
      <c r="A71" s="7" t="s">
        <v>252</v>
      </c>
      <c r="C71" s="19" t="n">
        <f aca="false">INDEX($A$15:$A$25,MATCH(C70,C15:C25,0))</f>
        <v>0.06</v>
      </c>
      <c r="D71" s="19" t="n">
        <f aca="false">INDEX($A$15:$A$25,MATCH(D70,D15:D25,0))</f>
        <v>0.06</v>
      </c>
      <c r="E71" s="19" t="n">
        <f aca="false">INDEX($A$15:$A$25,MATCH(E70,E15:E25,0))</f>
        <v>0.06</v>
      </c>
      <c r="F71" s="19" t="n">
        <f aca="false">INDEX($A$15:$A$25,MATCH(F70,F15:F25,0))</f>
        <v>0.07</v>
      </c>
      <c r="G71" s="19" t="n">
        <f aca="false">INDEX($A$15:$A$25,MATCH(G70,G15:G25,0))</f>
        <v>0.09</v>
      </c>
      <c r="H71" s="19" t="n">
        <f aca="false">INDEX($A$15:$A$25,MATCH(H70,H15:H25,0))</f>
        <v>0.1</v>
      </c>
    </row>
    <row r="72" customFormat="false" ht="15" hidden="false" customHeight="false" outlineLevel="0" collapsed="false">
      <c r="A72" s="7" t="s">
        <v>253</v>
      </c>
      <c r="C72" s="15" t="n">
        <f aca="false">INDEX(Anexos!C$10:C$20,MATCH(C70,C15:C25,0))</f>
        <v>3130000</v>
      </c>
      <c r="D72" s="15" t="n">
        <f aca="false">INDEX(Anexos!D$10:D$20,MATCH(D70,D15:D25,0))</f>
        <v>2367000</v>
      </c>
      <c r="E72" s="15" t="n">
        <f aca="false">INDEX(Anexos!E$10:E$20,MATCH(E70,E15:E25,0))</f>
        <v>2157000</v>
      </c>
      <c r="F72" s="15" t="n">
        <f aca="false">INDEX(Anexos!F$10:F$20,MATCH(F70,F15:F25,0))</f>
        <v>1792000</v>
      </c>
      <c r="G72" s="15" t="n">
        <f aca="false">INDEX(Anexos!G$10:G$20,MATCH(G70,G15:G25,0))</f>
        <v>1495000</v>
      </c>
      <c r="H72" s="15" t="n">
        <f aca="false">INDEX(Anexos!H$10:H$20,MATCH(H70,H15:H25,0))</f>
        <v>935000</v>
      </c>
    </row>
    <row r="73" customFormat="false" ht="15" hidden="false" customHeight="false" outlineLevel="0" collapsed="false">
      <c r="A73" s="7" t="s">
        <v>254</v>
      </c>
      <c r="C73" s="19" t="n">
        <f aca="false">1-C72/$B$3</f>
        <v>0.478333333333333</v>
      </c>
      <c r="D73" s="19" t="n">
        <f aca="false">1-D72/$B$3</f>
        <v>0.6055</v>
      </c>
      <c r="E73" s="19" t="n">
        <f aca="false">1-E72/$B$3</f>
        <v>0.6405</v>
      </c>
      <c r="F73" s="19" t="n">
        <f aca="false">1-F72/$B$3</f>
        <v>0.701333333333333</v>
      </c>
      <c r="G73" s="19" t="n">
        <f aca="false">1-G72/$B$3</f>
        <v>0.750833333333333</v>
      </c>
      <c r="H73" s="19" t="n">
        <f aca="false">1-H72/$B$3</f>
        <v>0.844166666666667</v>
      </c>
    </row>
    <row r="74" customFormat="false" ht="15" hidden="false" customHeight="false" outlineLevel="0" collapsed="false">
      <c r="A74" s="7" t="s">
        <v>255</v>
      </c>
      <c r="C74" s="11" t="n">
        <f aca="false">C66-$B$8</f>
        <v>8527.9</v>
      </c>
      <c r="D74" s="11" t="n">
        <f aca="false">D66-$B$8</f>
        <v>15072.21</v>
      </c>
      <c r="E74" s="11" t="n">
        <f aca="false">E66-$B$8</f>
        <v>16311.45</v>
      </c>
      <c r="F74" s="11" t="n">
        <f aca="false">F66-$B$8</f>
        <v>17549.88</v>
      </c>
      <c r="G74" s="11" t="n">
        <f aca="false">G66-$B$8</f>
        <v>16137.95</v>
      </c>
      <c r="H74" s="11" t="n">
        <f aca="false">H66-$B$8</f>
        <v>11150.65</v>
      </c>
    </row>
    <row r="77" customFormat="false" ht="15" hidden="false" customHeight="false" outlineLevel="0" collapsed="false">
      <c r="A77" s="5" t="s">
        <v>256</v>
      </c>
      <c r="B77" s="6"/>
      <c r="C77" s="6"/>
      <c r="D77" s="6"/>
      <c r="E77" s="6"/>
      <c r="F77" s="6"/>
      <c r="G77" s="6"/>
      <c r="H77" s="6"/>
      <c r="I77" s="6"/>
    </row>
    <row r="78" customFormat="false" ht="15" hidden="false" customHeight="false" outlineLevel="0" collapsed="false">
      <c r="A78" s="22" t="s">
        <v>257</v>
      </c>
      <c r="B78" s="30" t="n">
        <f aca="false">MAX(C66:H66)</f>
        <v>25408.88</v>
      </c>
    </row>
    <row r="79" customFormat="false" ht="15" hidden="false" customHeight="false" outlineLevel="0" collapsed="false">
      <c r="A79" s="22" t="s">
        <v>258</v>
      </c>
      <c r="B79" s="31" t="str">
        <f aca="false">INDEX(C65:H65,MATCH(B78,C66:H66,0))</f>
        <v>A</v>
      </c>
    </row>
    <row r="80" customFormat="false" ht="15" hidden="false" customHeight="false" outlineLevel="0" collapsed="false">
      <c r="A80" s="7" t="s">
        <v>259</v>
      </c>
      <c r="B80" s="32" t="n">
        <f aca="false">INDEX(C67:H67,MATCH(B78,C66:H66,0))</f>
        <v>0.07</v>
      </c>
    </row>
    <row r="81" customFormat="false" ht="15" hidden="false" customHeight="false" outlineLevel="0" collapsed="false">
      <c r="A81" s="7" t="s">
        <v>249</v>
      </c>
      <c r="B81" s="33" t="n">
        <f aca="false">INDEX(C68:H68,MATCH(B78,C66:H66,0))</f>
        <v>1792000</v>
      </c>
    </row>
    <row r="82" customFormat="false" ht="15" hidden="false" customHeight="false" outlineLevel="0" collapsed="false">
      <c r="A82" s="7" t="s">
        <v>250</v>
      </c>
      <c r="B82" s="33" t="n">
        <f aca="false">B3-B81</f>
        <v>4208000</v>
      </c>
    </row>
    <row r="83" customFormat="false" ht="15" hidden="false" customHeight="false" outlineLevel="0" collapsed="false">
      <c r="A83" s="7" t="s">
        <v>260</v>
      </c>
      <c r="B83" s="34" t="n">
        <f aca="false">INDEX(C12:H12,MATCH(B79,C11:H11,0))</f>
        <v>28</v>
      </c>
    </row>
    <row r="84" customFormat="false" ht="15" hidden="false" customHeight="false" outlineLevel="0" collapsed="false">
      <c r="A84" s="7" t="s">
        <v>261</v>
      </c>
      <c r="B84" s="34" t="n">
        <f aca="false">INDEX(C13:H13,MATCH(B79,C11:H11,0))</f>
        <v>14.15</v>
      </c>
    </row>
    <row r="85" customFormat="false" ht="15" hidden="false" customHeight="false" outlineLevel="0" collapsed="false">
      <c r="A85" s="7" t="s">
        <v>262</v>
      </c>
      <c r="B85" s="32" t="n">
        <f aca="false">B81/B3</f>
        <v>0.298666666666667</v>
      </c>
    </row>
    <row r="88" customFormat="false" ht="15" hidden="false" customHeight="false" outlineLevel="0" collapsed="false">
      <c r="A88" s="5" t="s">
        <v>263</v>
      </c>
      <c r="B88" s="6"/>
      <c r="C88" s="6"/>
      <c r="D88" s="6"/>
      <c r="E88" s="6"/>
      <c r="F88" s="6"/>
      <c r="G88" s="6"/>
      <c r="H88" s="6"/>
      <c r="I88" s="6"/>
    </row>
    <row r="89" customFormat="false" ht="23.85" hidden="false" customHeight="false" outlineLevel="0" collapsed="false">
      <c r="A89" s="4" t="s">
        <v>2</v>
      </c>
      <c r="B89" s="4" t="s">
        <v>264</v>
      </c>
      <c r="C89" s="4" t="s">
        <v>265</v>
      </c>
      <c r="D89" s="4" t="s">
        <v>266</v>
      </c>
      <c r="E89" s="4" t="s">
        <v>267</v>
      </c>
    </row>
    <row r="90" customFormat="false" ht="15" hidden="false" customHeight="false" outlineLevel="0" collapsed="false">
      <c r="A90" s="7" t="s">
        <v>268</v>
      </c>
      <c r="B90" s="11" t="n">
        <f aca="false">0</f>
        <v>0</v>
      </c>
      <c r="C90" s="11" t="n">
        <f aca="false">H72</f>
        <v>935000</v>
      </c>
      <c r="D90" s="11" t="n">
        <f aca="false">INDEX(C72:H72,MATCH(MAX(C70:H70),C70:H70,0))</f>
        <v>1792000</v>
      </c>
      <c r="E90" s="11" t="n">
        <f aca="false">B81</f>
        <v>1792000</v>
      </c>
    </row>
    <row r="91" customFormat="false" ht="15" hidden="false" customHeight="false" outlineLevel="0" collapsed="false">
      <c r="A91" s="7" t="s">
        <v>269</v>
      </c>
      <c r="B91" s="35" t="n">
        <f aca="false">0</f>
        <v>0</v>
      </c>
      <c r="C91" s="35" t="n">
        <f aca="false">H12</f>
        <v>34</v>
      </c>
      <c r="D91" s="35" t="n">
        <f aca="false">INDEX(C12:H12,MATCH(MAX(C70:H70),C70:H70,0))</f>
        <v>28</v>
      </c>
      <c r="E91" s="35" t="n">
        <f aca="false">B83</f>
        <v>28</v>
      </c>
    </row>
    <row r="92" customFormat="false" ht="15" hidden="false" customHeight="false" outlineLevel="0" collapsed="false">
      <c r="A92" s="7" t="s">
        <v>270</v>
      </c>
      <c r="B92" s="35" t="n">
        <f aca="false">0</f>
        <v>0</v>
      </c>
      <c r="C92" s="35" t="n">
        <f aca="false">H13</f>
        <v>16.26</v>
      </c>
      <c r="D92" s="35" t="n">
        <f aca="false">INDEX(C13:H13,MATCH(MAX(C70:H70),C70:H70,0))</f>
        <v>14.15</v>
      </c>
      <c r="E92" s="35" t="n">
        <f aca="false">B84</f>
        <v>14.15</v>
      </c>
    </row>
    <row r="93" customFormat="false" ht="15" hidden="false" customHeight="false" outlineLevel="0" collapsed="false">
      <c r="A93" s="7" t="s">
        <v>271</v>
      </c>
      <c r="B93" s="19" t="n">
        <f aca="false">0</f>
        <v>0</v>
      </c>
      <c r="C93" s="19" t="n">
        <f aca="false">H71</f>
        <v>0.1</v>
      </c>
      <c r="D93" s="19" t="n">
        <f aca="false">INDEX(C71:H71,MATCH(MAX(C70:H70),C70:H70,0))</f>
        <v>0.07</v>
      </c>
      <c r="E93" s="19" t="n">
        <f aca="false">B80</f>
        <v>0.07</v>
      </c>
    </row>
    <row r="94" customFormat="false" ht="15" hidden="false" customHeight="false" outlineLevel="0" collapsed="false">
      <c r="A94" s="7" t="s">
        <v>272</v>
      </c>
      <c r="B94" s="11" t="n">
        <f aca="false">$B$3</f>
        <v>6000000</v>
      </c>
      <c r="C94" s="11" t="n">
        <f aca="false">0</f>
        <v>0</v>
      </c>
      <c r="D94" s="11" t="n">
        <f aca="false">0</f>
        <v>0</v>
      </c>
      <c r="E94" s="11" t="n">
        <f aca="false">B82</f>
        <v>4208000</v>
      </c>
    </row>
    <row r="95" customFormat="false" ht="15" hidden="false" customHeight="false" outlineLevel="0" collapsed="false">
      <c r="A95" s="7" t="s">
        <v>273</v>
      </c>
      <c r="B95" s="11" t="n">
        <f aca="false">B90*B91/1000</f>
        <v>0</v>
      </c>
      <c r="C95" s="11" t="n">
        <f aca="false">C90*C91/1000</f>
        <v>31790</v>
      </c>
      <c r="D95" s="11" t="n">
        <f aca="false">D90*D91/1000</f>
        <v>50176</v>
      </c>
      <c r="E95" s="11" t="n">
        <f aca="false">E90*E91/1000</f>
        <v>50176</v>
      </c>
    </row>
    <row r="96" customFormat="false" ht="15" hidden="false" customHeight="false" outlineLevel="0" collapsed="false">
      <c r="A96" s="7" t="s">
        <v>274</v>
      </c>
      <c r="B96" s="11" t="n">
        <f aca="false">B94*$B$4/1000</f>
        <v>42000</v>
      </c>
      <c r="C96" s="11" t="n">
        <f aca="false">C94*$B$4/1000</f>
        <v>0</v>
      </c>
      <c r="D96" s="11" t="n">
        <f aca="false">D94*$B$4/1000</f>
        <v>0</v>
      </c>
      <c r="E96" s="11" t="n">
        <f aca="false">E94*$B$4/1000</f>
        <v>29456</v>
      </c>
    </row>
    <row r="97" customFormat="false" ht="15" hidden="false" customHeight="false" outlineLevel="0" collapsed="false">
      <c r="A97" s="25" t="s">
        <v>275</v>
      </c>
      <c r="B97" s="24" t="n">
        <f aca="false">B95+B96</f>
        <v>42000</v>
      </c>
      <c r="C97" s="24" t="n">
        <f aca="false">C95+C96</f>
        <v>31790</v>
      </c>
      <c r="D97" s="24" t="n">
        <f aca="false">D95+D96</f>
        <v>50176</v>
      </c>
      <c r="E97" s="24" t="n">
        <f aca="false">E95+E96</f>
        <v>79632</v>
      </c>
    </row>
    <row r="98" customFormat="false" ht="15" hidden="false" customHeight="false" outlineLevel="0" collapsed="false">
      <c r="A98" s="7" t="s">
        <v>276</v>
      </c>
      <c r="B98" s="11" t="n">
        <f aca="false">(B90*B92+B94*$B$5)/1000</f>
        <v>31500</v>
      </c>
      <c r="C98" s="11" t="n">
        <f aca="false">(C90*C92+C94*$B$5)/1000</f>
        <v>15203.1</v>
      </c>
      <c r="D98" s="11" t="n">
        <f aca="false">(D90*D92+D94*$B$5)/1000</f>
        <v>25356.8</v>
      </c>
      <c r="E98" s="11" t="n">
        <f aca="false">(E90*E92+E94*$B$5)/1000</f>
        <v>47448.8</v>
      </c>
    </row>
    <row r="99" customFormat="false" ht="15" hidden="false" customHeight="false" outlineLevel="0" collapsed="false">
      <c r="A99" s="7" t="s">
        <v>277</v>
      </c>
      <c r="B99" s="11" t="n">
        <f aca="false">B97-B98</f>
        <v>10500</v>
      </c>
      <c r="C99" s="11" t="n">
        <f aca="false">C97-C98</f>
        <v>16586.9</v>
      </c>
      <c r="D99" s="11" t="n">
        <f aca="false">D97-D98</f>
        <v>24819.2</v>
      </c>
      <c r="E99" s="11" t="n">
        <f aca="false">E97-E98</f>
        <v>32183.2</v>
      </c>
    </row>
    <row r="100" customFormat="false" ht="15" hidden="false" customHeight="false" outlineLevel="0" collapsed="false">
      <c r="A100" s="7" t="s">
        <v>278</v>
      </c>
      <c r="B100" s="11" t="n">
        <f aca="false">$B$6</f>
        <v>2641</v>
      </c>
      <c r="C100" s="11" t="n">
        <f aca="false">$B$7</f>
        <v>3262</v>
      </c>
      <c r="D100" s="11" t="n">
        <f aca="false">$B$7</f>
        <v>3262</v>
      </c>
      <c r="E100" s="11" t="n">
        <f aca="false">$B$7</f>
        <v>3262</v>
      </c>
    </row>
    <row r="101" customFormat="false" ht="15" hidden="false" customHeight="false" outlineLevel="0" collapsed="false">
      <c r="A101" s="7" t="s">
        <v>279</v>
      </c>
      <c r="B101" s="11" t="n">
        <f aca="false">B93*B95</f>
        <v>0</v>
      </c>
      <c r="C101" s="11" t="n">
        <f aca="false">C93*C95</f>
        <v>3179</v>
      </c>
      <c r="D101" s="11" t="n">
        <f aca="false">D93*D95</f>
        <v>3512.32</v>
      </c>
      <c r="E101" s="11" t="n">
        <f aca="false">E93*E95</f>
        <v>3512.32</v>
      </c>
    </row>
    <row r="102" customFormat="false" ht="15" hidden="false" customHeight="false" outlineLevel="0" collapsed="false">
      <c r="A102" s="25" t="s">
        <v>280</v>
      </c>
      <c r="B102" s="24" t="n">
        <f aca="false">B99-B100-B101</f>
        <v>7859</v>
      </c>
      <c r="C102" s="24" t="n">
        <f aca="false">C99-C100-C101</f>
        <v>10145.9</v>
      </c>
      <c r="D102" s="24" t="n">
        <f aca="false">D99-D100-D101</f>
        <v>18044.88</v>
      </c>
      <c r="E102" s="24" t="n">
        <f aca="false">E99-E100-E101</f>
        <v>25408.88</v>
      </c>
    </row>
    <row r="103" customFormat="false" ht="15" hidden="false" customHeight="false" outlineLevel="0" collapsed="false">
      <c r="A103" s="7" t="s">
        <v>281</v>
      </c>
      <c r="B103" s="19" t="n">
        <f aca="false">(B90+B94)/$B$3</f>
        <v>1</v>
      </c>
      <c r="C103" s="19" t="n">
        <f aca="false">(C90+C94)/$B$3</f>
        <v>0.155833333333333</v>
      </c>
      <c r="D103" s="19" t="n">
        <f aca="false">(D90+D94)/$B$3</f>
        <v>0.298666666666667</v>
      </c>
      <c r="E103" s="19" t="n">
        <f aca="false">(E90+E94)/$B$3</f>
        <v>1</v>
      </c>
    </row>
    <row r="104" customFormat="false" ht="15" hidden="false" customHeight="false" outlineLevel="0" collapsed="false">
      <c r="A104" s="7" t="s">
        <v>282</v>
      </c>
      <c r="B104" s="15" t="n">
        <f aca="false">Supuestos!$B$40</f>
        <v>300</v>
      </c>
      <c r="C104" s="15" t="n">
        <f aca="false">Supuestos!$B$40</f>
        <v>300</v>
      </c>
      <c r="D104" s="15" t="n">
        <f aca="false">Supuestos!$B$40</f>
        <v>300</v>
      </c>
      <c r="E104" s="15" t="n">
        <f aca="false">Supuestos!$B$40</f>
        <v>300</v>
      </c>
    </row>
    <row r="105" customFormat="false" ht="15" hidden="false" customHeight="false" outlineLevel="0" collapsed="false">
      <c r="A105" s="7" t="s">
        <v>283</v>
      </c>
      <c r="B105" s="15" t="n">
        <f aca="false">Supuestos!$B$11*(1-Supuestos!$B$53)+Supuestos!$B$12*(1-Supuestos!$B$52)+Supuestos!$B$13*(1-Supuestos!$B$54)</f>
        <v>3547.65</v>
      </c>
      <c r="C105" s="15" t="n">
        <f aca="false">Supuestos!$B$11*(1-Supuestos!$B$58)+Supuestos!$B$12*(1-Supuestos!$B$57)+Supuestos!$B$13*(1-Supuestos!$B$59)</f>
        <v>9272</v>
      </c>
      <c r="D105" s="15" t="n">
        <f aca="false">Supuestos!$B$11*(1-Supuestos!$B$58)+Supuestos!$B$12*(1-Supuestos!$B$57)+Supuestos!$B$13*(1-Supuestos!$B$59)</f>
        <v>9272</v>
      </c>
      <c r="E105" s="15" t="n">
        <f aca="false">Supuestos!$B$11*(1-Supuestos!$B$58)+Supuestos!$B$12*(1-Supuestos!$B$57)+Supuestos!$B$13*(1-Supuestos!$B$59)</f>
        <v>9272</v>
      </c>
    </row>
    <row r="106" customFormat="false" ht="15" hidden="false" customHeight="false" outlineLevel="0" collapsed="false">
      <c r="A106" s="7" t="s">
        <v>284</v>
      </c>
      <c r="B106" s="15" t="n">
        <f aca="false">Supuestos!$B$70*(Supuestos!$B$27+Supuestos!$B$28)</f>
        <v>3043</v>
      </c>
      <c r="C106" s="15" t="n">
        <f aca="false">Supuestos!$B$70*(Supuestos!$B$27+Supuestos!$B$28)</f>
        <v>3043</v>
      </c>
      <c r="D106" s="15" t="n">
        <f aca="false">Supuestos!$B$70*(Supuestos!$B$27+Supuestos!$B$28)</f>
        <v>3043</v>
      </c>
      <c r="E106" s="15" t="n">
        <f aca="false">Supuestos!$B$70*(Supuestos!$B$27+Supuestos!$B$28)</f>
        <v>3043</v>
      </c>
    </row>
    <row r="107" customFormat="false" ht="15" hidden="false" customHeight="false" outlineLevel="0" collapsed="false">
      <c r="A107" s="7" t="s">
        <v>154</v>
      </c>
      <c r="B107" s="11" t="n">
        <f aca="false">B102-B104-B105-B106</f>
        <v>968.35</v>
      </c>
      <c r="C107" s="11" t="n">
        <f aca="false">C102-C104-C105-C106</f>
        <v>-2469.1</v>
      </c>
      <c r="D107" s="11" t="n">
        <f aca="false">D102-D104-D105-D106</f>
        <v>5429.88</v>
      </c>
      <c r="E107" s="11" t="n">
        <f aca="false">E102-E104-E105-E106</f>
        <v>12793.88</v>
      </c>
    </row>
    <row r="108" customFormat="false" ht="15" hidden="false" customHeight="false" outlineLevel="0" collapsed="false">
      <c r="A108" s="25" t="s">
        <v>285</v>
      </c>
      <c r="B108" s="36" t="n">
        <f aca="false">B107-MAX(0,B107)*Supuestos!$B$15</f>
        <v>581.01</v>
      </c>
      <c r="C108" s="36" t="n">
        <f aca="false">C107-MAX(0,C107)*Supuestos!$B$15</f>
        <v>-2469.1</v>
      </c>
      <c r="D108" s="36" t="n">
        <f aca="false">D107-MAX(0,D107)*Supuestos!$B$15</f>
        <v>3257.928</v>
      </c>
      <c r="E108" s="36" t="n">
        <f aca="false">E107-MAX(0,E107)*Supuestos!$B$15</f>
        <v>7676.328</v>
      </c>
    </row>
    <row r="110" customFormat="false" ht="15" hidden="false" customHeight="false" outlineLevel="0" collapsed="false">
      <c r="A110" s="21" t="s">
        <v>286</v>
      </c>
    </row>
    <row r="111" customFormat="false" ht="15" hidden="false" customHeight="false" outlineLevel="0" collapsed="false">
      <c r="A111" s="21" t="s">
        <v>287</v>
      </c>
    </row>
  </sheetData>
  <conditionalFormatting sqref="C51:H61">
    <cfRule type="expression" priority="2" aboveAverage="0" equalAverage="0" bottom="0" percent="0" rank="0" text="" dxfId="0">
      <formula>C51=MAX($C$51:$H$61)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0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5"/>
    <col collapsed="false" customWidth="true" hidden="false" outlineLevel="0" max="4" min="3" style="0" width="17"/>
    <col collapsed="false" customWidth="true" hidden="false" outlineLevel="0" max="5" min="5" style="0" width="60"/>
  </cols>
  <sheetData>
    <row r="1" customFormat="false" ht="16.15" hidden="false" customHeight="false" outlineLevel="0" collapsed="false">
      <c r="A1" s="1" t="s">
        <v>288</v>
      </c>
      <c r="B1" s="2"/>
      <c r="C1" s="2"/>
      <c r="D1" s="2"/>
      <c r="E1" s="2"/>
    </row>
    <row r="2" customFormat="false" ht="15" hidden="false" customHeight="false" outlineLevel="0" collapsed="false">
      <c r="A2" s="3" t="s">
        <v>289</v>
      </c>
    </row>
    <row r="3" customFormat="false" ht="23.85" hidden="false" customHeight="false" outlineLevel="0" collapsed="false">
      <c r="A3" s="4" t="s">
        <v>2</v>
      </c>
      <c r="B3" s="4" t="s">
        <v>290</v>
      </c>
      <c r="C3" s="4" t="s">
        <v>291</v>
      </c>
      <c r="D3" s="4" t="s">
        <v>292</v>
      </c>
      <c r="E3" s="4" t="s">
        <v>293</v>
      </c>
    </row>
    <row r="5" customFormat="false" ht="15" hidden="false" customHeight="false" outlineLevel="0" collapsed="false">
      <c r="A5" s="5" t="s">
        <v>294</v>
      </c>
      <c r="B5" s="6"/>
      <c r="C5" s="6"/>
      <c r="D5" s="6"/>
      <c r="E5" s="6"/>
    </row>
    <row r="6" customFormat="false" ht="15" hidden="false" customHeight="false" outlineLevel="0" collapsed="false">
      <c r="A6" s="7" t="s">
        <v>295</v>
      </c>
      <c r="B6" s="37" t="s">
        <v>296</v>
      </c>
      <c r="C6" s="38" t="s">
        <v>297</v>
      </c>
      <c r="D6" s="39" t="str">
        <f aca="false">Mix_Produccion!$B$79</f>
        <v>A</v>
      </c>
    </row>
    <row r="7" customFormat="false" ht="15" hidden="false" customHeight="false" outlineLevel="0" collapsed="false">
      <c r="A7" s="7" t="s">
        <v>298</v>
      </c>
      <c r="B7" s="15" t="n">
        <f aca="false">Supuestos!$B$32</f>
        <v>1152000</v>
      </c>
      <c r="C7" s="15" t="n">
        <f aca="false">Supuestos!$B$37</f>
        <v>6000000</v>
      </c>
      <c r="D7" s="15" t="n">
        <f aca="false">Mix_Produccion!$B$82</f>
        <v>4208000</v>
      </c>
    </row>
    <row r="8" customFormat="false" ht="15" hidden="false" customHeight="false" outlineLevel="0" collapsed="false">
      <c r="A8" s="7" t="s">
        <v>234</v>
      </c>
      <c r="B8" s="14" t="n">
        <f aca="false">Supuestos!$B$6/B7*1000</f>
        <v>6.86</v>
      </c>
      <c r="C8" s="14" t="n">
        <f aca="false">Supuestos!$B$45</f>
        <v>7</v>
      </c>
      <c r="D8" s="14" t="n">
        <f aca="false">Supuestos!$B$45</f>
        <v>7</v>
      </c>
    </row>
    <row r="9" customFormat="false" ht="15" hidden="false" customHeight="false" outlineLevel="0" collapsed="false">
      <c r="A9" s="7" t="s">
        <v>235</v>
      </c>
      <c r="C9" s="14" t="n">
        <f aca="false">Supuestos!$B$46</f>
        <v>5.25</v>
      </c>
      <c r="D9" s="14" t="n">
        <f aca="false">Supuestos!$B$46</f>
        <v>5.25</v>
      </c>
    </row>
    <row r="10" customFormat="false" ht="15" hidden="false" customHeight="false" outlineLevel="0" collapsed="false">
      <c r="A10" s="7" t="s">
        <v>299</v>
      </c>
      <c r="B10" s="15" t="n">
        <f aca="false">Supuestos!$B$33</f>
        <v>1196000</v>
      </c>
      <c r="C10" s="9" t="n">
        <v>0</v>
      </c>
      <c r="D10" s="15" t="n">
        <f aca="false">Mix_Produccion!$B$81</f>
        <v>1792000</v>
      </c>
    </row>
    <row r="11" customFormat="false" ht="15" hidden="false" customHeight="false" outlineLevel="0" collapsed="false">
      <c r="A11" s="7" t="s">
        <v>260</v>
      </c>
      <c r="B11" s="14" t="n">
        <f aca="false">Supuestos!$B$7/B10*1000</f>
        <v>30.69</v>
      </c>
      <c r="C11" s="20" t="n">
        <v>0</v>
      </c>
      <c r="D11" s="14" t="n">
        <f aca="false">Mix_Produccion!$B$83</f>
        <v>28</v>
      </c>
    </row>
    <row r="12" customFormat="false" ht="15" hidden="false" customHeight="false" outlineLevel="0" collapsed="false">
      <c r="A12" s="7" t="s">
        <v>261</v>
      </c>
      <c r="C12" s="20" t="n">
        <v>0</v>
      </c>
      <c r="D12" s="14" t="n">
        <f aca="false">Mix_Produccion!$B$84</f>
        <v>14.15</v>
      </c>
    </row>
    <row r="13" customFormat="false" ht="15" hidden="false" customHeight="false" outlineLevel="0" collapsed="false">
      <c r="A13" s="7" t="s">
        <v>300</v>
      </c>
      <c r="B13" s="17" t="n">
        <f aca="false">Supuestos!$B$10/Supuestos!$B$7</f>
        <v>0.0899871516982316</v>
      </c>
      <c r="C13" s="10" t="n">
        <v>0</v>
      </c>
      <c r="D13" s="17" t="n">
        <f aca="false">Mix_Produccion!$B$80</f>
        <v>0.07</v>
      </c>
    </row>
    <row r="14" customFormat="false" ht="15" hidden="false" customHeight="false" outlineLevel="0" collapsed="false">
      <c r="A14" s="7" t="s">
        <v>301</v>
      </c>
      <c r="C14" s="15" t="n">
        <f aca="false">Supuestos!$B$47</f>
        <v>2641</v>
      </c>
      <c r="D14" s="15" t="n">
        <f aca="false">Supuestos!$B$48</f>
        <v>3262</v>
      </c>
    </row>
    <row r="15" customFormat="false" ht="15" hidden="false" customHeight="false" outlineLevel="0" collapsed="false">
      <c r="A15" s="7" t="s">
        <v>302</v>
      </c>
      <c r="B15" s="17" t="n">
        <f aca="false">(B7+B10)/Supuestos!$B$37</f>
        <v>0.391333333333333</v>
      </c>
      <c r="C15" s="17" t="n">
        <f aca="false">(C7+C10)/Supuestos!$B$37</f>
        <v>1</v>
      </c>
      <c r="D15" s="17" t="n">
        <f aca="false">(D7+D10)/Supuestos!$B$37</f>
        <v>1</v>
      </c>
    </row>
    <row r="17" customFormat="false" ht="15" hidden="false" customHeight="false" outlineLevel="0" collapsed="false">
      <c r="A17" s="5" t="s">
        <v>303</v>
      </c>
      <c r="B17" s="6"/>
      <c r="C17" s="6"/>
      <c r="D17" s="6"/>
      <c r="E17" s="6"/>
    </row>
    <row r="18" customFormat="false" ht="15" hidden="false" customHeight="false" outlineLevel="0" collapsed="false">
      <c r="A18" s="7" t="s">
        <v>274</v>
      </c>
      <c r="B18" s="15" t="n">
        <f aca="false">Supuestos!$B$6</f>
        <v>7902.72</v>
      </c>
      <c r="C18" s="11" t="n">
        <f aca="false">C7*C8/1000</f>
        <v>42000</v>
      </c>
      <c r="D18" s="11" t="n">
        <f aca="false">D7*D8/1000</f>
        <v>29456</v>
      </c>
    </row>
    <row r="19" customFormat="false" ht="15" hidden="false" customHeight="false" outlineLevel="0" collapsed="false">
      <c r="A19" s="7" t="s">
        <v>273</v>
      </c>
      <c r="B19" s="15" t="n">
        <f aca="false">Supuestos!$B$7</f>
        <v>36705.24</v>
      </c>
      <c r="C19" s="11" t="n">
        <f aca="false">C10*C11/1000</f>
        <v>0</v>
      </c>
      <c r="D19" s="11" t="n">
        <f aca="false">D10*D11/1000</f>
        <v>50176</v>
      </c>
    </row>
    <row r="20" customFormat="false" ht="15" hidden="false" customHeight="false" outlineLevel="0" collapsed="false">
      <c r="A20" s="25" t="s">
        <v>275</v>
      </c>
      <c r="B20" s="24" t="n">
        <f aca="false">B18+B19</f>
        <v>44607.96</v>
      </c>
      <c r="C20" s="24" t="n">
        <f aca="false">C18+C19</f>
        <v>42000</v>
      </c>
      <c r="D20" s="24" t="n">
        <f aca="false">D18+D19</f>
        <v>79632</v>
      </c>
    </row>
    <row r="21" customFormat="false" ht="15" hidden="false" customHeight="false" outlineLevel="0" collapsed="false">
      <c r="A21" s="7" t="s">
        <v>304</v>
      </c>
      <c r="C21" s="11" t="n">
        <f aca="false">C7*C9/1000</f>
        <v>31500</v>
      </c>
      <c r="D21" s="11" t="n">
        <f aca="false">D7*D9/1000</f>
        <v>22092</v>
      </c>
    </row>
    <row r="22" customFormat="false" ht="15" hidden="false" customHeight="false" outlineLevel="0" collapsed="false">
      <c r="A22" s="7" t="s">
        <v>305</v>
      </c>
      <c r="C22" s="11" t="n">
        <f aca="false">C10*C12/1000</f>
        <v>0</v>
      </c>
      <c r="D22" s="11" t="n">
        <f aca="false">D10*D12/1000</f>
        <v>25356.8</v>
      </c>
    </row>
    <row r="23" customFormat="false" ht="15" hidden="false" customHeight="false" outlineLevel="0" collapsed="false">
      <c r="A23" s="7" t="s">
        <v>306</v>
      </c>
      <c r="C23" s="11" t="n">
        <f aca="false">C14</f>
        <v>2641</v>
      </c>
      <c r="D23" s="11" t="n">
        <f aca="false">D14</f>
        <v>3262</v>
      </c>
    </row>
    <row r="24" customFormat="false" ht="15" hidden="false" customHeight="false" outlineLevel="0" collapsed="false">
      <c r="A24" s="7" t="s">
        <v>307</v>
      </c>
      <c r="C24" s="15" t="n">
        <f aca="false">Supuestos!$B$40</f>
        <v>300</v>
      </c>
      <c r="D24" s="15" t="n">
        <f aca="false">Supuestos!$B$40</f>
        <v>300</v>
      </c>
    </row>
    <row r="25" customFormat="false" ht="15" hidden="false" customHeight="false" outlineLevel="0" collapsed="false">
      <c r="A25" s="7" t="s">
        <v>308</v>
      </c>
      <c r="C25" s="15" t="n">
        <f aca="false">(1-Supuestos!$B$42)*Supuestos!$B$9</f>
        <v>0</v>
      </c>
      <c r="D25" s="15" t="n">
        <f aca="false">(1-Supuestos!$B$42)*Supuestos!$B$9</f>
        <v>0</v>
      </c>
    </row>
    <row r="26" customFormat="false" ht="15" hidden="false" customHeight="false" outlineLevel="0" collapsed="false">
      <c r="A26" s="7" t="s">
        <v>309</v>
      </c>
      <c r="B26" s="15" t="n">
        <f aca="false">Supuestos!$B$8</f>
        <v>26421</v>
      </c>
      <c r="C26" s="11" t="n">
        <f aca="false">SUM(C21:C25)</f>
        <v>34441</v>
      </c>
      <c r="D26" s="11" t="n">
        <f aca="false">SUM(D21:D25)</f>
        <v>51010.8</v>
      </c>
    </row>
    <row r="27" customFormat="false" ht="15" hidden="false" customHeight="false" outlineLevel="0" collapsed="false">
      <c r="A27" s="25" t="s">
        <v>147</v>
      </c>
      <c r="B27" s="24" t="n">
        <f aca="false">B20-B26</f>
        <v>18186.96</v>
      </c>
      <c r="C27" s="24" t="n">
        <f aca="false">C20-C26</f>
        <v>7559</v>
      </c>
      <c r="D27" s="24" t="n">
        <f aca="false">D20-D26</f>
        <v>28621.2</v>
      </c>
    </row>
    <row r="28" customFormat="false" ht="15" hidden="false" customHeight="false" outlineLevel="0" collapsed="false">
      <c r="A28" s="7" t="s">
        <v>148</v>
      </c>
      <c r="B28" s="15" t="n">
        <f aca="false">Supuestos!$B$10</f>
        <v>3303</v>
      </c>
      <c r="C28" s="15" t="n">
        <f aca="false">Supuestos!$B$10*(1-Supuestos!$B$51)</f>
        <v>0</v>
      </c>
      <c r="D28" s="11" t="n">
        <f aca="false">D13*D19</f>
        <v>3512.32</v>
      </c>
      <c r="E28" s="3" t="s">
        <v>310</v>
      </c>
    </row>
    <row r="29" customFormat="false" ht="15" hidden="false" customHeight="false" outlineLevel="0" collapsed="false">
      <c r="A29" s="7" t="s">
        <v>149</v>
      </c>
      <c r="B29" s="15" t="n">
        <f aca="false">Supuestos!$B$11</f>
        <v>2647</v>
      </c>
      <c r="C29" s="15" t="n">
        <f aca="false">Supuestos!$B$11*(1-Supuestos!$B$53)</f>
        <v>661.75</v>
      </c>
      <c r="D29" s="15" t="n">
        <f aca="false">Supuestos!$B$11*(1-Supuestos!$B$58)</f>
        <v>2647</v>
      </c>
    </row>
    <row r="30" customFormat="false" ht="15" hidden="false" customHeight="false" outlineLevel="0" collapsed="false">
      <c r="A30" s="7" t="s">
        <v>150</v>
      </c>
      <c r="B30" s="15" t="n">
        <f aca="false">Supuestos!$B$12</f>
        <v>2844</v>
      </c>
      <c r="C30" s="15" t="n">
        <f aca="false">Supuestos!$B$12*(1-Supuestos!$B$52)</f>
        <v>995.4</v>
      </c>
      <c r="D30" s="15" t="n">
        <f aca="false">Supuestos!$B$12*(1-Supuestos!$B$57)</f>
        <v>2844</v>
      </c>
    </row>
    <row r="31" customFormat="false" ht="15" hidden="false" customHeight="false" outlineLevel="0" collapsed="false">
      <c r="A31" s="7" t="s">
        <v>151</v>
      </c>
      <c r="B31" s="15" t="n">
        <f aca="false">Supuestos!$B$13</f>
        <v>3781</v>
      </c>
      <c r="C31" s="15" t="n">
        <f aca="false">Supuestos!$B$13*(1-Supuestos!$B$54)</f>
        <v>1890.5</v>
      </c>
      <c r="D31" s="15" t="n">
        <f aca="false">Supuestos!$B$13*(1-Supuestos!$B$59)</f>
        <v>3781</v>
      </c>
    </row>
    <row r="32" customFormat="false" ht="15" hidden="false" customHeight="false" outlineLevel="0" collapsed="false">
      <c r="A32" s="7" t="s">
        <v>311</v>
      </c>
      <c r="B32" s="11" t="n">
        <f aca="false">SUM(B28:B31)</f>
        <v>12575</v>
      </c>
      <c r="C32" s="11" t="n">
        <f aca="false">SUM(C28:C31)</f>
        <v>3547.65</v>
      </c>
      <c r="D32" s="11" t="n">
        <f aca="false">SUM(D28:D31)</f>
        <v>12784.32</v>
      </c>
    </row>
    <row r="33" customFormat="false" ht="15" hidden="false" customHeight="false" outlineLevel="0" collapsed="false">
      <c r="A33" s="25" t="s">
        <v>152</v>
      </c>
      <c r="B33" s="24" t="n">
        <f aca="false">B27-B32</f>
        <v>5611.96</v>
      </c>
      <c r="C33" s="24" t="n">
        <f aca="false">C27-C32</f>
        <v>4011.35</v>
      </c>
      <c r="D33" s="24" t="n">
        <f aca="false">D27-D32</f>
        <v>15836.88</v>
      </c>
    </row>
    <row r="34" customFormat="false" ht="15" hidden="false" customHeight="false" outlineLevel="0" collapsed="false">
      <c r="A34" s="7" t="s">
        <v>153</v>
      </c>
      <c r="B34" s="15" t="n">
        <f aca="false">Supuestos!$B$14</f>
        <v>3043</v>
      </c>
      <c r="C34" s="15" t="n">
        <f aca="false">Supuestos!$B$70*(Supuestos!$B$27+Supuestos!$B$28)</f>
        <v>3043</v>
      </c>
      <c r="D34" s="15" t="n">
        <f aca="false">Supuestos!$B$70*(Supuestos!$B$27+Supuestos!$B$28)</f>
        <v>3043</v>
      </c>
      <c r="E34" s="3" t="s">
        <v>312</v>
      </c>
    </row>
    <row r="35" customFormat="false" ht="15" hidden="false" customHeight="false" outlineLevel="0" collapsed="false">
      <c r="A35" s="7" t="s">
        <v>154</v>
      </c>
      <c r="B35" s="11" t="n">
        <f aca="false">B33-B34</f>
        <v>2568.96</v>
      </c>
      <c r="C35" s="11" t="n">
        <f aca="false">C33-C34</f>
        <v>968.35</v>
      </c>
      <c r="D35" s="11" t="n">
        <f aca="false">D33-D34</f>
        <v>12793.88</v>
      </c>
    </row>
    <row r="36" customFormat="false" ht="15" hidden="false" customHeight="false" outlineLevel="0" collapsed="false">
      <c r="A36" s="7" t="s">
        <v>313</v>
      </c>
      <c r="B36" s="15" t="n">
        <f aca="false">MAX(0,B35)*Supuestos!$B$15</f>
        <v>1027.584</v>
      </c>
      <c r="C36" s="15" t="n">
        <f aca="false">MAX(0,C35)*Supuestos!$B$15</f>
        <v>387.34</v>
      </c>
      <c r="D36" s="15" t="n">
        <f aca="false">MAX(0,D35)*Supuestos!$B$15</f>
        <v>5117.552</v>
      </c>
    </row>
    <row r="37" customFormat="false" ht="15" hidden="false" customHeight="false" outlineLevel="0" collapsed="false">
      <c r="A37" s="25" t="s">
        <v>156</v>
      </c>
      <c r="B37" s="24" t="n">
        <f aca="false">B35-B36</f>
        <v>1541.376</v>
      </c>
      <c r="C37" s="24" t="n">
        <f aca="false">C35-C36</f>
        <v>581.01</v>
      </c>
      <c r="D37" s="24" t="n">
        <f aca="false">D35-D36</f>
        <v>7676.328</v>
      </c>
    </row>
    <row r="38" customFormat="false" ht="15" hidden="false" customHeight="false" outlineLevel="0" collapsed="false">
      <c r="A38" s="7" t="s">
        <v>314</v>
      </c>
      <c r="B38" s="15" t="n">
        <f aca="false">Supuestos!$B$9</f>
        <v>2081</v>
      </c>
      <c r="C38" s="15" t="n">
        <f aca="false">Supuestos!$B$41</f>
        <v>2381</v>
      </c>
      <c r="D38" s="15" t="n">
        <f aca="false">Supuestos!$B$41</f>
        <v>2381</v>
      </c>
    </row>
    <row r="39" customFormat="false" ht="15" hidden="false" customHeight="false" outlineLevel="0" collapsed="false">
      <c r="A39" s="7" t="s">
        <v>315</v>
      </c>
      <c r="B39" s="11" t="n">
        <f aca="false">B33+B38</f>
        <v>7692.96</v>
      </c>
      <c r="C39" s="11" t="n">
        <f aca="false">C33+C38</f>
        <v>6392.35</v>
      </c>
      <c r="D39" s="11" t="n">
        <f aca="false">D33+D38</f>
        <v>18217.88</v>
      </c>
    </row>
    <row r="41" customFormat="false" ht="15" hidden="false" customHeight="false" outlineLevel="0" collapsed="false">
      <c r="A41" s="5" t="s">
        <v>316</v>
      </c>
      <c r="B41" s="6"/>
      <c r="C41" s="6"/>
      <c r="D41" s="6"/>
      <c r="E41" s="6"/>
    </row>
    <row r="42" customFormat="false" ht="15" hidden="false" customHeight="false" outlineLevel="0" collapsed="false">
      <c r="A42" s="7" t="s">
        <v>317</v>
      </c>
      <c r="B42" s="15" t="n">
        <f aca="false">Supuestos!$B$18</f>
        <v>892</v>
      </c>
      <c r="C42" s="11" t="n">
        <f aca="false">C57-SUM(C43:C45)-C49</f>
        <v>-4018.62075102712</v>
      </c>
      <c r="D42" s="11" t="n">
        <f aca="false">D57-SUM(D43:D45)-D49</f>
        <v>411.474213640096</v>
      </c>
      <c r="E42" s="3" t="s">
        <v>318</v>
      </c>
    </row>
    <row r="43" customFormat="false" ht="15" hidden="false" customHeight="false" outlineLevel="0" collapsed="false">
      <c r="A43" s="7" t="s">
        <v>24</v>
      </c>
      <c r="B43" s="15" t="n">
        <f aca="false">Supuestos!$B$19</f>
        <v>2313</v>
      </c>
      <c r="C43" s="15" t="n">
        <f aca="false">(C26-C38)/Supuestos!$B$66</f>
        <v>3046.62202136401</v>
      </c>
      <c r="D43" s="15" t="n">
        <f aca="false">(D26-D38)/Supuestos!$B$66</f>
        <v>4621.22955628595</v>
      </c>
      <c r="E43" s="3" t="s">
        <v>319</v>
      </c>
    </row>
    <row r="44" customFormat="false" ht="15" hidden="false" customHeight="false" outlineLevel="0" collapsed="false">
      <c r="A44" s="7" t="s">
        <v>25</v>
      </c>
      <c r="B44" s="15" t="n">
        <f aca="false">Supuestos!$B$20</f>
        <v>913</v>
      </c>
      <c r="C44" s="15" t="n">
        <f aca="false">Supuestos!$B$69*Supuestos!$B$46/1000</f>
        <v>0</v>
      </c>
      <c r="D44" s="15" t="n">
        <f aca="false">Supuestos!$B$69*Supuestos!$B$46/1000</f>
        <v>0</v>
      </c>
      <c r="E44" s="3" t="s">
        <v>320</v>
      </c>
    </row>
    <row r="45" customFormat="false" ht="15" hidden="false" customHeight="false" outlineLevel="0" collapsed="false">
      <c r="A45" s="7" t="s">
        <v>29</v>
      </c>
      <c r="B45" s="15" t="n">
        <f aca="false">Supuestos!$B$22</f>
        <v>7448.928</v>
      </c>
      <c r="C45" s="15" t="n">
        <f aca="false">C18*Supuestos!$B$64+C19*Supuestos!$B$65</f>
        <v>15624</v>
      </c>
      <c r="D45" s="15" t="n">
        <f aca="false">D18*Supuestos!$B$64+D19*Supuestos!$B$65</f>
        <v>16978.752</v>
      </c>
      <c r="E45" s="3" t="s">
        <v>321</v>
      </c>
    </row>
    <row r="46" customFormat="false" ht="15" hidden="false" customHeight="false" outlineLevel="0" collapsed="false">
      <c r="A46" s="25" t="s">
        <v>161</v>
      </c>
      <c r="B46" s="24" t="n">
        <f aca="false">SUM(B42:B45)</f>
        <v>11566.928</v>
      </c>
      <c r="C46" s="24" t="n">
        <f aca="false">SUM(C42:C45)</f>
        <v>14652.0012703369</v>
      </c>
      <c r="D46" s="24" t="n">
        <f aca="false">SUM(D42:D45)</f>
        <v>22011.455769926</v>
      </c>
    </row>
    <row r="47" customFormat="false" ht="15" hidden="false" customHeight="false" outlineLevel="0" collapsed="false">
      <c r="A47" s="7" t="s">
        <v>162</v>
      </c>
      <c r="B47" s="15" t="n">
        <f aca="false">Supuestos!$B$23</f>
        <v>33706</v>
      </c>
      <c r="C47" s="11" t="n">
        <f aca="false">$B$47</f>
        <v>33706</v>
      </c>
      <c r="D47" s="11" t="n">
        <f aca="false">$B$47</f>
        <v>33706</v>
      </c>
      <c r="E47" s="3" t="s">
        <v>322</v>
      </c>
    </row>
    <row r="48" customFormat="false" ht="15" hidden="false" customHeight="false" outlineLevel="0" collapsed="false">
      <c r="A48" s="7" t="s">
        <v>31</v>
      </c>
      <c r="B48" s="15" t="n">
        <f aca="false">-Supuestos!$B$24</f>
        <v>-9758</v>
      </c>
      <c r="C48" s="11" t="n">
        <f aca="false">$B48-C38</f>
        <v>-12139</v>
      </c>
      <c r="D48" s="11" t="n">
        <f aca="false">$B48-D38</f>
        <v>-12139</v>
      </c>
      <c r="E48" s="3" t="s">
        <v>323</v>
      </c>
    </row>
    <row r="49" customFormat="false" ht="15" hidden="false" customHeight="false" outlineLevel="0" collapsed="false">
      <c r="A49" s="7" t="s">
        <v>163</v>
      </c>
      <c r="B49" s="11" t="n">
        <f aca="false">B47+B48</f>
        <v>23948</v>
      </c>
      <c r="C49" s="11" t="n">
        <f aca="false">C47+C48</f>
        <v>21567</v>
      </c>
      <c r="D49" s="11" t="n">
        <f aca="false">D47+D48</f>
        <v>21567</v>
      </c>
    </row>
    <row r="50" customFormat="false" ht="15" hidden="false" customHeight="false" outlineLevel="0" collapsed="false">
      <c r="A50" s="25" t="s">
        <v>164</v>
      </c>
      <c r="B50" s="24" t="n">
        <f aca="false">B46+B49</f>
        <v>35514.928</v>
      </c>
      <c r="C50" s="24" t="n">
        <f aca="false">C46+C49</f>
        <v>36219.0012703369</v>
      </c>
      <c r="D50" s="24" t="n">
        <f aca="false">D46+D49</f>
        <v>43578.4557699261</v>
      </c>
    </row>
    <row r="51" customFormat="false" ht="15" hidden="false" customHeight="false" outlineLevel="0" collapsed="false">
      <c r="A51" s="7" t="s">
        <v>35</v>
      </c>
      <c r="B51" s="15" t="n">
        <f aca="false">Supuestos!$B$26</f>
        <v>388</v>
      </c>
      <c r="C51" s="15" t="n">
        <f aca="false">(C26-C38)/Supuestos!$B$67</f>
        <v>511.063270336894</v>
      </c>
      <c r="D51" s="15" t="n">
        <f aca="false">(D26-D38)/Supuestos!$B$67</f>
        <v>775.199769926048</v>
      </c>
    </row>
    <row r="52" customFormat="false" ht="15" hidden="false" customHeight="false" outlineLevel="0" collapsed="false">
      <c r="A52" s="7" t="s">
        <v>36</v>
      </c>
      <c r="B52" s="15" t="n">
        <f aca="false">Supuestos!$B$27</f>
        <v>20000</v>
      </c>
      <c r="C52" s="11" t="n">
        <f aca="false">$B52</f>
        <v>20000</v>
      </c>
      <c r="D52" s="11" t="n">
        <f aca="false">$B52</f>
        <v>20000</v>
      </c>
    </row>
    <row r="53" customFormat="false" ht="15" hidden="false" customHeight="false" outlineLevel="0" collapsed="false">
      <c r="A53" s="7" t="s">
        <v>165</v>
      </c>
      <c r="B53" s="11" t="n">
        <f aca="false">B51+B52</f>
        <v>20388</v>
      </c>
      <c r="C53" s="11" t="n">
        <f aca="false">C51+C52</f>
        <v>20511.0632703369</v>
      </c>
      <c r="D53" s="11" t="n">
        <f aca="false">D51+D52</f>
        <v>20775.199769926</v>
      </c>
    </row>
    <row r="54" customFormat="false" ht="15" hidden="false" customHeight="false" outlineLevel="0" collapsed="false">
      <c r="A54" s="7" t="s">
        <v>37</v>
      </c>
      <c r="B54" s="15" t="n">
        <f aca="false">Supuestos!$B$28</f>
        <v>8000</v>
      </c>
      <c r="C54" s="11" t="n">
        <f aca="false">$B54</f>
        <v>8000</v>
      </c>
      <c r="D54" s="11" t="n">
        <f aca="false">$B54</f>
        <v>8000</v>
      </c>
    </row>
    <row r="55" customFormat="false" ht="15" hidden="false" customHeight="false" outlineLevel="0" collapsed="false">
      <c r="A55" s="7" t="s">
        <v>166</v>
      </c>
      <c r="B55" s="11" t="n">
        <f aca="false">B53+B54</f>
        <v>28388</v>
      </c>
      <c r="C55" s="11" t="n">
        <f aca="false">C53+C54</f>
        <v>28511.0632703369</v>
      </c>
      <c r="D55" s="11" t="n">
        <f aca="false">D53+D54</f>
        <v>28775.199769926</v>
      </c>
    </row>
    <row r="56" customFormat="false" ht="15" hidden="false" customHeight="false" outlineLevel="0" collapsed="false">
      <c r="A56" s="22" t="s">
        <v>167</v>
      </c>
      <c r="B56" s="28" t="n">
        <f aca="false">B50-B55</f>
        <v>7126.928</v>
      </c>
      <c r="C56" s="40" t="n">
        <f aca="false">$B56+C37-Supuestos!$B$71</f>
        <v>7707.938</v>
      </c>
      <c r="D56" s="40" t="n">
        <f aca="false">$B56+D37-Supuestos!$B$71</f>
        <v>14803.256</v>
      </c>
      <c r="E56" s="3" t="s">
        <v>324</v>
      </c>
    </row>
    <row r="57" customFormat="false" ht="15" hidden="false" customHeight="false" outlineLevel="0" collapsed="false">
      <c r="A57" s="25" t="s">
        <v>168</v>
      </c>
      <c r="B57" s="24" t="n">
        <f aca="false">B55+B56</f>
        <v>35514.928</v>
      </c>
      <c r="C57" s="24" t="n">
        <f aca="false">C55+C56</f>
        <v>36219.0012703369</v>
      </c>
      <c r="D57" s="24" t="n">
        <f aca="false">D55+D56</f>
        <v>43578.4557699261</v>
      </c>
    </row>
    <row r="58" customFormat="false" ht="15" hidden="false" customHeight="false" outlineLevel="0" collapsed="false">
      <c r="A58" s="7" t="s">
        <v>325</v>
      </c>
      <c r="B58" s="11" t="n">
        <f aca="false">B50-B57</f>
        <v>0</v>
      </c>
      <c r="C58" s="11" t="n">
        <f aca="false">C50-C57</f>
        <v>0</v>
      </c>
      <c r="D58" s="11" t="n">
        <f aca="false">D50-D57</f>
        <v>0</v>
      </c>
    </row>
    <row r="59" customFormat="false" ht="15" hidden="false" customHeight="false" outlineLevel="0" collapsed="false">
      <c r="A59" s="7" t="s">
        <v>326</v>
      </c>
      <c r="B59" s="15" t="n">
        <f aca="false">B20*Supuestos!$B$68</f>
        <v>892</v>
      </c>
      <c r="C59" s="15" t="n">
        <f aca="false">C20*Supuestos!$B$68</f>
        <v>839.850107469609</v>
      </c>
      <c r="D59" s="15" t="n">
        <f aca="false">D20*Supuestos!$B$68</f>
        <v>1592.35580376238</v>
      </c>
    </row>
    <row r="60" customFormat="false" ht="15" hidden="false" customHeight="false" outlineLevel="0" collapsed="false">
      <c r="A60" s="22" t="s">
        <v>327</v>
      </c>
      <c r="B60" s="28" t="n">
        <f aca="false">B42-B59</f>
        <v>0</v>
      </c>
      <c r="C60" s="28" t="n">
        <f aca="false">C42-C59</f>
        <v>-4858.47085849673</v>
      </c>
      <c r="D60" s="28" t="n">
        <f aca="false">D42-D59</f>
        <v>-1180.88159012228</v>
      </c>
      <c r="E60" s="3" t="s">
        <v>328</v>
      </c>
    </row>
    <row r="61" customFormat="false" ht="15" hidden="false" customHeight="false" outlineLevel="0" collapsed="false">
      <c r="A61" s="7" t="s">
        <v>329</v>
      </c>
      <c r="B61" s="15" t="n">
        <f aca="false">Supuestos!$B$29-B52</f>
        <v>0</v>
      </c>
      <c r="C61" s="15" t="n">
        <f aca="false">Supuestos!$B$29-C52</f>
        <v>0</v>
      </c>
      <c r="D61" s="15" t="n">
        <f aca="false">Supuestos!$B$29-D52</f>
        <v>0</v>
      </c>
    </row>
    <row r="62" customFormat="false" ht="15" hidden="false" customHeight="false" outlineLevel="0" collapsed="false">
      <c r="A62" s="7" t="s">
        <v>330</v>
      </c>
      <c r="C62" s="15" t="n">
        <f aca="false">MAX(0,-C60)*Supuestos!$B$70</f>
        <v>528.01167222877</v>
      </c>
      <c r="D62" s="15" t="n">
        <f aca="false">MAX(0,-D60)*Supuestos!$B$70</f>
        <v>128.336524240789</v>
      </c>
    </row>
    <row r="63" customFormat="false" ht="15" hidden="false" customHeight="false" outlineLevel="0" collapsed="false">
      <c r="A63" s="7" t="s">
        <v>331</v>
      </c>
      <c r="C63" s="15" t="n">
        <f aca="false">C37-C62*(1-Supuestos!$B$15)</f>
        <v>264.202996662738</v>
      </c>
      <c r="D63" s="15" t="n">
        <f aca="false">D37-D62*(1-Supuestos!$B$15)</f>
        <v>7599.32608545552</v>
      </c>
    </row>
    <row r="65" customFormat="false" ht="15" hidden="false" customHeight="false" outlineLevel="0" collapsed="false">
      <c r="A65" s="5" t="s">
        <v>332</v>
      </c>
      <c r="B65" s="6"/>
      <c r="C65" s="6"/>
      <c r="D65" s="6"/>
      <c r="E65" s="6"/>
    </row>
    <row r="66" customFormat="false" ht="15" hidden="false" customHeight="false" outlineLevel="0" collapsed="false">
      <c r="A66" s="7" t="s">
        <v>156</v>
      </c>
      <c r="C66" s="11" t="n">
        <f aca="false">C37</f>
        <v>581.01</v>
      </c>
      <c r="D66" s="11" t="n">
        <f aca="false">D37</f>
        <v>7676.328</v>
      </c>
    </row>
    <row r="67" customFormat="false" ht="15" hidden="false" customHeight="false" outlineLevel="0" collapsed="false">
      <c r="A67" s="7" t="s">
        <v>333</v>
      </c>
      <c r="C67" s="11" t="n">
        <f aca="false">C38</f>
        <v>2381</v>
      </c>
      <c r="D67" s="11" t="n">
        <f aca="false">D38</f>
        <v>2381</v>
      </c>
    </row>
    <row r="68" customFormat="false" ht="15" hidden="false" customHeight="false" outlineLevel="0" collapsed="false">
      <c r="A68" s="7" t="s">
        <v>334</v>
      </c>
      <c r="C68" s="11" t="n">
        <f aca="false">-(C45-$B45)</f>
        <v>-8175.072</v>
      </c>
      <c r="D68" s="11" t="n">
        <f aca="false">-(D45-$B45)</f>
        <v>-9529.824</v>
      </c>
    </row>
    <row r="69" customFormat="false" ht="15" hidden="false" customHeight="false" outlineLevel="0" collapsed="false">
      <c r="A69" s="7" t="s">
        <v>335</v>
      </c>
      <c r="C69" s="11" t="n">
        <f aca="false">-(C43-$B43)</f>
        <v>-733.62202136401</v>
      </c>
      <c r="D69" s="11" t="n">
        <f aca="false">-(D43-$B43)</f>
        <v>-2308.22955628595</v>
      </c>
    </row>
    <row r="70" customFormat="false" ht="15" hidden="false" customHeight="false" outlineLevel="0" collapsed="false">
      <c r="A70" s="7" t="s">
        <v>336</v>
      </c>
      <c r="C70" s="11" t="n">
        <f aca="false">-(C44-$B44)</f>
        <v>913</v>
      </c>
      <c r="D70" s="11" t="n">
        <f aca="false">-(D44-$B44)</f>
        <v>913</v>
      </c>
    </row>
    <row r="71" customFormat="false" ht="15" hidden="false" customHeight="false" outlineLevel="0" collapsed="false">
      <c r="A71" s="7" t="s">
        <v>337</v>
      </c>
      <c r="C71" s="11" t="n">
        <f aca="false">C51-$B51</f>
        <v>123.063270336894</v>
      </c>
      <c r="D71" s="11" t="n">
        <f aca="false">D51-$B51</f>
        <v>387.199769926048</v>
      </c>
    </row>
    <row r="72" customFormat="false" ht="15" hidden="false" customHeight="false" outlineLevel="0" collapsed="false">
      <c r="A72" s="25" t="s">
        <v>338</v>
      </c>
      <c r="B72" s="41"/>
      <c r="C72" s="24" t="n">
        <f aca="false">SUM(C66:C71)</f>
        <v>-4910.62075102712</v>
      </c>
      <c r="D72" s="24" t="n">
        <f aca="false">SUM(D66:D71)</f>
        <v>-480.525786359904</v>
      </c>
    </row>
    <row r="73" customFormat="false" ht="15" hidden="false" customHeight="false" outlineLevel="0" collapsed="false">
      <c r="A73" s="7" t="s">
        <v>339</v>
      </c>
      <c r="C73" s="11" t="n">
        <f aca="false">-(C47-$B47)</f>
        <v>-0</v>
      </c>
      <c r="D73" s="11" t="n">
        <f aca="false">-(D47-$B47)</f>
        <v>-0</v>
      </c>
    </row>
    <row r="74" customFormat="false" ht="15" hidden="false" customHeight="false" outlineLevel="0" collapsed="false">
      <c r="A74" s="22" t="s">
        <v>340</v>
      </c>
      <c r="C74" s="28" t="n">
        <f aca="false">C73</f>
        <v>-0</v>
      </c>
      <c r="D74" s="28" t="n">
        <f aca="false">D73</f>
        <v>-0</v>
      </c>
    </row>
    <row r="75" customFormat="false" ht="15" hidden="false" customHeight="false" outlineLevel="0" collapsed="false">
      <c r="A75" s="7" t="s">
        <v>341</v>
      </c>
      <c r="C75" s="11" t="n">
        <f aca="false">(C52+C54)-($B52+$B54)</f>
        <v>0</v>
      </c>
      <c r="D75" s="11" t="n">
        <f aca="false">(D52+D54)-($B52+$B54)</f>
        <v>0</v>
      </c>
    </row>
    <row r="76" customFormat="false" ht="15" hidden="false" customHeight="false" outlineLevel="0" collapsed="false">
      <c r="A76" s="7" t="s">
        <v>342</v>
      </c>
      <c r="C76" s="15" t="n">
        <f aca="false">-Supuestos!$B$71</f>
        <v>-0</v>
      </c>
      <c r="D76" s="15" t="n">
        <f aca="false">-Supuestos!$B$71</f>
        <v>-0</v>
      </c>
    </row>
    <row r="77" customFormat="false" ht="15" hidden="false" customHeight="false" outlineLevel="0" collapsed="false">
      <c r="A77" s="22" t="s">
        <v>343</v>
      </c>
      <c r="C77" s="28" t="n">
        <f aca="false">C75+C76</f>
        <v>0</v>
      </c>
      <c r="D77" s="28" t="n">
        <f aca="false">D75+D76</f>
        <v>0</v>
      </c>
    </row>
    <row r="78" customFormat="false" ht="15" hidden="false" customHeight="false" outlineLevel="0" collapsed="false">
      <c r="A78" s="25" t="s">
        <v>344</v>
      </c>
      <c r="B78" s="41"/>
      <c r="C78" s="24" t="n">
        <f aca="false">C72+C74+C77</f>
        <v>-4910.62075102712</v>
      </c>
      <c r="D78" s="24" t="n">
        <f aca="false">D72+D74+D77</f>
        <v>-480.525786359904</v>
      </c>
    </row>
    <row r="79" customFormat="false" ht="15" hidden="false" customHeight="false" outlineLevel="0" collapsed="false">
      <c r="A79" s="7" t="s">
        <v>345</v>
      </c>
      <c r="C79" s="11" t="n">
        <f aca="false">$B42</f>
        <v>892</v>
      </c>
      <c r="D79" s="11" t="n">
        <f aca="false">$B42</f>
        <v>892</v>
      </c>
    </row>
    <row r="80" customFormat="false" ht="15" hidden="false" customHeight="false" outlineLevel="0" collapsed="false">
      <c r="A80" s="25" t="s">
        <v>346</v>
      </c>
      <c r="B80" s="41"/>
      <c r="C80" s="24" t="n">
        <f aca="false">C79+C78</f>
        <v>-4018.62075102712</v>
      </c>
      <c r="D80" s="24" t="n">
        <f aca="false">D79+D78</f>
        <v>411.474213640096</v>
      </c>
    </row>
    <row r="81" customFormat="false" ht="15" hidden="false" customHeight="false" outlineLevel="0" collapsed="false">
      <c r="A81" s="7" t="s">
        <v>347</v>
      </c>
      <c r="C81" s="11" t="n">
        <f aca="false">C80-C42</f>
        <v>0</v>
      </c>
      <c r="D81" s="11" t="n">
        <f aca="false">D80-D42</f>
        <v>0</v>
      </c>
    </row>
    <row r="83" customFormat="false" ht="15" hidden="false" customHeight="false" outlineLevel="0" collapsed="false">
      <c r="A83" s="5" t="s">
        <v>348</v>
      </c>
      <c r="B83" s="6"/>
      <c r="C83" s="6"/>
      <c r="D83" s="6"/>
      <c r="E83" s="6"/>
    </row>
    <row r="84" customFormat="false" ht="15" hidden="false" customHeight="false" outlineLevel="0" collapsed="false">
      <c r="A84" s="7" t="s">
        <v>147</v>
      </c>
      <c r="B84" s="19" t="n">
        <f aca="false">B27/B20</f>
        <v>0.407706606623571</v>
      </c>
      <c r="C84" s="19" t="n">
        <f aca="false">C27/C20</f>
        <v>0.17997619047619</v>
      </c>
      <c r="D84" s="19" t="n">
        <f aca="false">D27/D20</f>
        <v>0.359418324291742</v>
      </c>
    </row>
    <row r="85" customFormat="false" ht="15" hidden="false" customHeight="false" outlineLevel="0" collapsed="false">
      <c r="A85" s="7" t="s">
        <v>175</v>
      </c>
      <c r="B85" s="19" t="n">
        <f aca="false">B33/B20</f>
        <v>0.12580624623946</v>
      </c>
      <c r="C85" s="19" t="n">
        <f aca="false">C33/C20</f>
        <v>0.0955083333333333</v>
      </c>
      <c r="D85" s="19" t="n">
        <f aca="false">D33/D20</f>
        <v>0.198875828812538</v>
      </c>
    </row>
    <row r="86" customFormat="false" ht="15" hidden="false" customHeight="false" outlineLevel="0" collapsed="false">
      <c r="A86" s="7" t="s">
        <v>176</v>
      </c>
      <c r="B86" s="19" t="n">
        <f aca="false">B37/B20</f>
        <v>0.0345538329930353</v>
      </c>
      <c r="C86" s="19" t="n">
        <f aca="false">C37/C20</f>
        <v>0.0138335714285714</v>
      </c>
      <c r="D86" s="19" t="n">
        <f aca="false">D37/D20</f>
        <v>0.0963975286317058</v>
      </c>
    </row>
    <row r="87" customFormat="false" ht="15" hidden="false" customHeight="false" outlineLevel="0" collapsed="false">
      <c r="A87" s="7" t="s">
        <v>181</v>
      </c>
      <c r="B87" s="18" t="n">
        <f aca="false">B20/B50</f>
        <v>1.25603408234419</v>
      </c>
      <c r="C87" s="18" t="n">
        <f aca="false">C20/C50</f>
        <v>1.15961231748258</v>
      </c>
      <c r="D87" s="18" t="n">
        <f aca="false">D20/D50</f>
        <v>1.82732496122442</v>
      </c>
    </row>
    <row r="88" customFormat="false" ht="15" hidden="false" customHeight="false" outlineLevel="0" collapsed="false">
      <c r="A88" s="7" t="s">
        <v>182</v>
      </c>
      <c r="B88" s="18" t="n">
        <f aca="false">B50/B56</f>
        <v>4.98320286103634</v>
      </c>
      <c r="C88" s="18" t="n">
        <f aca="false">C50/C56</f>
        <v>4.69892223709336</v>
      </c>
      <c r="D88" s="18" t="n">
        <f aca="false">D50/D56</f>
        <v>2.94384260935068</v>
      </c>
    </row>
    <row r="89" customFormat="false" ht="15" hidden="false" customHeight="false" outlineLevel="0" collapsed="false">
      <c r="A89" s="22" t="s">
        <v>349</v>
      </c>
      <c r="B89" s="42" t="n">
        <f aca="false">B37/B56</f>
        <v>0.21627495044148</v>
      </c>
      <c r="C89" s="42" t="n">
        <f aca="false">C37/C56</f>
        <v>0.0753781361500313</v>
      </c>
      <c r="D89" s="42" t="n">
        <f aca="false">D37/D56</f>
        <v>0.518556728330578</v>
      </c>
    </row>
    <row r="90" customFormat="false" ht="15" hidden="false" customHeight="false" outlineLevel="0" collapsed="false">
      <c r="A90" s="7" t="s">
        <v>187</v>
      </c>
      <c r="B90" s="19" t="n">
        <f aca="false">B86*B87*B88</f>
        <v>0.21627495044148</v>
      </c>
      <c r="C90" s="19" t="n">
        <f aca="false">C86*C87*C88</f>
        <v>0.0753781361500313</v>
      </c>
      <c r="D90" s="19" t="n">
        <f aca="false">D86*D87*D88</f>
        <v>0.518556728330578</v>
      </c>
    </row>
    <row r="91" customFormat="false" ht="15" hidden="false" customHeight="false" outlineLevel="0" collapsed="false">
      <c r="A91" s="7" t="s">
        <v>350</v>
      </c>
      <c r="C91" s="19" t="n">
        <f aca="false">C37/$B56</f>
        <v>0.0815232032651375</v>
      </c>
      <c r="D91" s="19" t="n">
        <f aca="false">D37/$B56</f>
        <v>1.07708791221126</v>
      </c>
    </row>
    <row r="92" customFormat="false" ht="15" hidden="false" customHeight="false" outlineLevel="0" collapsed="false">
      <c r="A92" s="7" t="s">
        <v>184</v>
      </c>
      <c r="B92" s="19" t="n">
        <f aca="false">B37/B50</f>
        <v>0.0434007919148815</v>
      </c>
      <c r="C92" s="19" t="n">
        <f aca="false">C37/C50</f>
        <v>0.0160415798233466</v>
      </c>
      <c r="D92" s="19" t="n">
        <f aca="false">D37/D50</f>
        <v>0.176149610269061</v>
      </c>
    </row>
    <row r="93" customFormat="false" ht="15" hidden="false" customHeight="false" outlineLevel="0" collapsed="false">
      <c r="A93" s="7" t="s">
        <v>179</v>
      </c>
      <c r="B93" s="18" t="n">
        <f aca="false">B33/B34</f>
        <v>1.84421952021032</v>
      </c>
      <c r="C93" s="18" t="n">
        <f aca="false">C33/C34</f>
        <v>1.31822214919487</v>
      </c>
      <c r="D93" s="18" t="n">
        <f aca="false">D33/D34</f>
        <v>5.20436411436083</v>
      </c>
    </row>
    <row r="94" customFormat="false" ht="15" hidden="false" customHeight="false" outlineLevel="0" collapsed="false">
      <c r="A94" s="7" t="s">
        <v>199</v>
      </c>
      <c r="B94" s="27" t="n">
        <f aca="false">B45/B20*365</f>
        <v>60.9500797615493</v>
      </c>
      <c r="C94" s="27" t="n">
        <f aca="false">C45/C20*365</f>
        <v>135.78</v>
      </c>
      <c r="D94" s="27" t="n">
        <f aca="false">D45/D20*365</f>
        <v>77.8235443037975</v>
      </c>
    </row>
    <row r="95" customFormat="false" ht="15" hidden="false" customHeight="false" outlineLevel="0" collapsed="false">
      <c r="A95" s="7" t="s">
        <v>206</v>
      </c>
      <c r="B95" s="11" t="n">
        <f aca="false">B43+B44+B45-B51</f>
        <v>10286.928</v>
      </c>
      <c r="C95" s="11" t="n">
        <f aca="false">C43+C44+C45-C51</f>
        <v>18159.5587510271</v>
      </c>
      <c r="D95" s="11" t="n">
        <f aca="false">D43+D44+D45-D51</f>
        <v>20824.7817863599</v>
      </c>
    </row>
    <row r="96" customFormat="false" ht="15" hidden="false" customHeight="false" outlineLevel="0" collapsed="false">
      <c r="A96" s="7" t="s">
        <v>207</v>
      </c>
      <c r="B96" s="19" t="n">
        <f aca="false">B95/B20</f>
        <v>0.230607452122895</v>
      </c>
      <c r="C96" s="19" t="n">
        <f aca="false">C95/C20</f>
        <v>0.432370446453027</v>
      </c>
      <c r="D96" s="19" t="n">
        <f aca="false">D95/D20</f>
        <v>0.2615127308916</v>
      </c>
    </row>
    <row r="97" customFormat="false" ht="15" hidden="false" customHeight="false" outlineLevel="0" collapsed="false">
      <c r="A97" s="7" t="s">
        <v>351</v>
      </c>
      <c r="B97" s="18" t="n">
        <f aca="false">B46/B53</f>
        <v>0.567340003923877</v>
      </c>
      <c r="C97" s="18" t="n">
        <f aca="false">C46/C53</f>
        <v>0.714346256808959</v>
      </c>
      <c r="D97" s="18" t="n">
        <f aca="false">D46/D53</f>
        <v>1.05950633513472</v>
      </c>
    </row>
    <row r="98" customFormat="false" ht="15" hidden="false" customHeight="false" outlineLevel="0" collapsed="false">
      <c r="A98" s="7" t="s">
        <v>194</v>
      </c>
      <c r="B98" s="18" t="n">
        <f aca="false">(B52+B54)/B56</f>
        <v>3.92876145233963</v>
      </c>
      <c r="C98" s="18" t="n">
        <f aca="false">(C52+C54)/C56</f>
        <v>3.63261873668418</v>
      </c>
      <c r="D98" s="18" t="n">
        <f aca="false">(D52+D54)/D56</f>
        <v>1.8914757672231</v>
      </c>
    </row>
    <row r="99" customFormat="false" ht="15" hidden="false" customHeight="false" outlineLevel="0" collapsed="false">
      <c r="A99" s="7" t="s">
        <v>352</v>
      </c>
      <c r="B99" s="18" t="n">
        <f aca="false">(B52+B54)/B39</f>
        <v>3.63969135417317</v>
      </c>
      <c r="C99" s="18" t="n">
        <f aca="false">(C52+C54)/C39</f>
        <v>4.38023575054557</v>
      </c>
      <c r="D99" s="18" t="n">
        <f aca="false">(D52+D54)/D39</f>
        <v>1.53695161017638</v>
      </c>
    </row>
    <row r="100" customFormat="false" ht="15" hidden="false" customHeight="false" outlineLevel="0" collapsed="false">
      <c r="A100" s="7" t="s">
        <v>353</v>
      </c>
      <c r="B100" s="35" t="n">
        <f aca="false">B33/(B7+B10)*1000</f>
        <v>2.39010221465077</v>
      </c>
      <c r="C100" s="35" t="n">
        <f aca="false">C33/(C7+C10)*1000</f>
        <v>0.668558333333333</v>
      </c>
      <c r="D100" s="35" t="n">
        <f aca="false">D33/(D7+D10)*1000</f>
        <v>2.63948</v>
      </c>
    </row>
    <row r="101" customFormat="false" ht="15" hidden="false" customHeight="false" outlineLevel="0" collapsed="false">
      <c r="A101" s="7" t="s">
        <v>354</v>
      </c>
      <c r="C101" s="11" t="n">
        <f aca="false">(C23+C24+C25+C32-C28)/(1-(C21+C22)/C20-C28/C20)</f>
        <v>25954.6</v>
      </c>
      <c r="D101" s="11" t="n">
        <f aca="false">(D23+D24+D25+D32-D28)/(1-(D21+D22)/D20-D28/D20)</f>
        <v>35645.8221024259</v>
      </c>
    </row>
    <row r="102" customFormat="false" ht="15" hidden="false" customHeight="false" outlineLevel="0" collapsed="false">
      <c r="A102" s="7" t="s">
        <v>355</v>
      </c>
      <c r="C102" s="11" t="n">
        <f aca="false">(C23+C24+C25+C32-C28+C34)/(1-(C21+C22)/C20-C28/C20)</f>
        <v>38126.6</v>
      </c>
      <c r="D102" s="11" t="n">
        <f aca="false">(D23+D24+D25+D32-D28+D34)/(1-(D21+D22)/D20-D28/D20)</f>
        <v>44097.6092816126</v>
      </c>
    </row>
    <row r="103" customFormat="false" ht="15" hidden="false" customHeight="false" outlineLevel="0" collapsed="false">
      <c r="A103" s="7" t="s">
        <v>356</v>
      </c>
      <c r="C103" s="19" t="n">
        <f aca="false">1-C102/C20</f>
        <v>0.0922238095238096</v>
      </c>
      <c r="D103" s="19" t="n">
        <f aca="false">1-D102/D20</f>
        <v>0.446232553726987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2"/>
    <col collapsed="false" customWidth="true" hidden="false" outlineLevel="0" max="2" min="2" style="0" width="15"/>
    <col collapsed="false" customWidth="true" hidden="false" outlineLevel="0" max="3" min="3" style="0" width="18"/>
    <col collapsed="false" customWidth="true" hidden="false" outlineLevel="0" max="4" min="4" style="0" width="13"/>
    <col collapsed="false" customWidth="true" hidden="false" outlineLevel="0" max="5" min="5" style="0" width="16"/>
    <col collapsed="false" customWidth="true" hidden="false" outlineLevel="0" max="6" min="6" style="0" width="20"/>
    <col collapsed="false" customWidth="true" hidden="false" outlineLevel="0" max="7" min="7" style="0" width="13"/>
  </cols>
  <sheetData>
    <row r="1" customFormat="false" ht="16.15" hidden="false" customHeight="false" outlineLevel="0" collapsed="false">
      <c r="A1" s="1" t="s">
        <v>357</v>
      </c>
      <c r="B1" s="2"/>
      <c r="C1" s="2"/>
      <c r="D1" s="2"/>
      <c r="E1" s="2"/>
      <c r="F1" s="2"/>
      <c r="G1" s="2"/>
    </row>
    <row r="2" customFormat="false" ht="15" hidden="false" customHeight="false" outlineLevel="0" collapsed="false">
      <c r="A2" s="3" t="s">
        <v>358</v>
      </c>
    </row>
    <row r="3" customFormat="false" ht="15" hidden="false" customHeight="false" outlineLevel="0" collapsed="false">
      <c r="A3" s="5" t="s">
        <v>359</v>
      </c>
      <c r="B3" s="6"/>
      <c r="C3" s="6"/>
      <c r="D3" s="6"/>
      <c r="E3" s="6"/>
      <c r="F3" s="6"/>
      <c r="G3" s="6"/>
    </row>
    <row r="4" customFormat="false" ht="15" hidden="false" customHeight="false" outlineLevel="0" collapsed="false">
      <c r="A4" s="7" t="s">
        <v>360</v>
      </c>
      <c r="B4" s="13" t="n">
        <v>2</v>
      </c>
    </row>
    <row r="5" customFormat="false" ht="15" hidden="false" customHeight="false" outlineLevel="0" collapsed="false">
      <c r="A5" s="7" t="s">
        <v>361</v>
      </c>
      <c r="B5" s="43" t="n">
        <v>0.25</v>
      </c>
    </row>
    <row r="6" customFormat="false" ht="15" hidden="false" customHeight="false" outlineLevel="0" collapsed="false">
      <c r="A6" s="7" t="s">
        <v>362</v>
      </c>
      <c r="B6" s="44" t="n">
        <f aca="false">Supuestos!$B$25</f>
        <v>10000</v>
      </c>
    </row>
    <row r="7" customFormat="false" ht="15" hidden="false" customHeight="false" outlineLevel="0" collapsed="false">
      <c r="A7" s="7" t="s">
        <v>363</v>
      </c>
      <c r="B7" s="13" t="n">
        <v>30</v>
      </c>
    </row>
    <row r="8" customFormat="false" ht="15" hidden="false" customHeight="false" outlineLevel="0" collapsed="false">
      <c r="A8" s="7" t="s">
        <v>364</v>
      </c>
      <c r="B8" s="16" t="n">
        <v>0.3</v>
      </c>
    </row>
    <row r="10" customFormat="false" ht="15" hidden="false" customHeight="false" outlineLevel="0" collapsed="false">
      <c r="A10" s="5" t="s">
        <v>365</v>
      </c>
      <c r="B10" s="6"/>
      <c r="C10" s="6"/>
      <c r="D10" s="6"/>
      <c r="E10" s="6"/>
      <c r="F10" s="6"/>
      <c r="G10" s="6"/>
    </row>
    <row r="11" customFormat="false" ht="15" hidden="false" customHeight="false" outlineLevel="0" collapsed="false">
      <c r="A11" s="7" t="s">
        <v>156</v>
      </c>
      <c r="B11" s="15" t="n">
        <f aca="false">EEFF_2020!$C$37</f>
        <v>581.01</v>
      </c>
    </row>
    <row r="12" customFormat="false" ht="15" hidden="false" customHeight="false" outlineLevel="0" collapsed="false">
      <c r="A12" s="7" t="s">
        <v>366</v>
      </c>
      <c r="B12" s="15" t="n">
        <f aca="false">EEFF_2020!$C$56</f>
        <v>7707.938</v>
      </c>
    </row>
    <row r="13" customFormat="false" ht="15" hidden="false" customHeight="false" outlineLevel="0" collapsed="false">
      <c r="A13" s="7" t="s">
        <v>367</v>
      </c>
      <c r="B13" s="15" t="n">
        <f aca="false">EEFF_2020!$C$60</f>
        <v>-4858.47085849673</v>
      </c>
    </row>
    <row r="14" customFormat="false" ht="15" hidden="false" customHeight="false" outlineLevel="0" collapsed="false">
      <c r="A14" s="7" t="s">
        <v>368</v>
      </c>
      <c r="B14" s="15" t="n">
        <f aca="false">EEFF_2020!$C$52+EEFF_2020!$C$54</f>
        <v>28000</v>
      </c>
    </row>
    <row r="15" customFormat="false" ht="15" hidden="false" customHeight="false" outlineLevel="0" collapsed="false">
      <c r="A15" s="7" t="s">
        <v>29</v>
      </c>
      <c r="B15" s="15" t="n">
        <f aca="false">EEFF_2020!$C$45</f>
        <v>15624</v>
      </c>
    </row>
    <row r="17" customFormat="false" ht="15" hidden="false" customHeight="false" outlineLevel="0" collapsed="false">
      <c r="A17" s="5" t="s">
        <v>369</v>
      </c>
      <c r="B17" s="6"/>
      <c r="C17" s="6"/>
      <c r="D17" s="6"/>
      <c r="E17" s="6"/>
      <c r="F17" s="6"/>
      <c r="G17" s="6"/>
    </row>
    <row r="18" customFormat="false" ht="46.25" hidden="false" customHeight="false" outlineLevel="0" collapsed="false">
      <c r="A18" s="4" t="s">
        <v>370</v>
      </c>
      <c r="B18" s="4" t="s">
        <v>371</v>
      </c>
      <c r="C18" s="4" t="s">
        <v>372</v>
      </c>
      <c r="D18" s="4" t="s">
        <v>373</v>
      </c>
      <c r="E18" s="4" t="s">
        <v>374</v>
      </c>
      <c r="F18" s="4" t="s">
        <v>375</v>
      </c>
      <c r="G18" s="4" t="s">
        <v>376</v>
      </c>
    </row>
    <row r="19" customFormat="false" ht="15" hidden="false" customHeight="false" outlineLevel="0" collapsed="false">
      <c r="A19" s="7" t="str">
        <f aca="false">"Cobro en "&amp;B4&amp;" meses en lugar de 3"</f>
        <v>Cobro en 2 meses en lugar de 3</v>
      </c>
      <c r="B19" s="11" t="n">
        <f aca="false">0</f>
        <v>0</v>
      </c>
      <c r="C19" s="15" t="n">
        <f aca="true">B15-(EEFF_2020!$C$18*SUM(OFFSET(Anexos!$B$36,1-$B$4,0,$B$4,1)))</f>
        <v>5502</v>
      </c>
      <c r="D19" s="11" t="n">
        <f aca="false">0</f>
        <v>0</v>
      </c>
      <c r="E19" s="11" t="n">
        <f aca="false">$B$11+B19</f>
        <v>581.01</v>
      </c>
      <c r="F19" s="11" t="n">
        <f aca="false">$B$13+C19</f>
        <v>643.529141503272</v>
      </c>
      <c r="G19" s="19" t="n">
        <f aca="false">E19/($B$12+B19)</f>
        <v>0.0753781361500313</v>
      </c>
    </row>
    <row r="20" customFormat="false" ht="15" hidden="false" customHeight="false" outlineLevel="0" collapsed="false">
      <c r="A20" s="7" t="str">
        <f aca="false">"Precio +"&amp;TEXT(B5,"0.00")&amp;" €/kg"</f>
        <v>Precio +0.25 €/kg</v>
      </c>
      <c r="B20" s="15" t="n">
        <f aca="false">$B$5*EEFF_2020!$C$7/1000*(1-Supuestos!$B$15)</f>
        <v>900</v>
      </c>
      <c r="C20" s="15" t="n">
        <f aca="false">B20-$B$5*EEFF_2020!$C$7/1000*Supuestos!$B$64</f>
        <v>342</v>
      </c>
      <c r="D20" s="11" t="n">
        <f aca="false">0</f>
        <v>0</v>
      </c>
      <c r="E20" s="11" t="n">
        <f aca="false">$B$11+B20</f>
        <v>1481.01</v>
      </c>
      <c r="F20" s="11" t="n">
        <f aca="false">$B$13+C20</f>
        <v>-4516.47085849673</v>
      </c>
      <c r="G20" s="19" t="n">
        <f aca="false">E20/($B$12+B20)</f>
        <v>0.172051657435265</v>
      </c>
    </row>
    <row r="21" customFormat="false" ht="15" hidden="false" customHeight="false" outlineLevel="0" collapsed="false">
      <c r="A21" s="7" t="s">
        <v>377</v>
      </c>
      <c r="B21" s="15" t="n">
        <f aca="false">$B$6*Supuestos!$B$70*(1-Supuestos!$B$15)</f>
        <v>652.071428571429</v>
      </c>
      <c r="C21" s="11" t="n">
        <f aca="false">B21</f>
        <v>652.071428571429</v>
      </c>
      <c r="D21" s="11" t="n">
        <f aca="false">-$B$6</f>
        <v>-10000</v>
      </c>
      <c r="E21" s="11" t="n">
        <f aca="false">$B$11+B21</f>
        <v>1233.08142857143</v>
      </c>
      <c r="F21" s="11" t="n">
        <f aca="false">$B$13+C21</f>
        <v>-4206.3994299253</v>
      </c>
      <c r="G21" s="19" t="n">
        <f aca="false">E21/($B$12+B21)</f>
        <v>0.147497612186562</v>
      </c>
    </row>
    <row r="22" customFormat="false" ht="15" hidden="false" customHeight="false" outlineLevel="0" collapsed="false">
      <c r="A22" s="7" t="s">
        <v>378</v>
      </c>
      <c r="B22" s="11" t="n">
        <f aca="false">0</f>
        <v>0</v>
      </c>
      <c r="C22" s="15" t="n">
        <f aca="false">(EEFF_2020!$C$26-EEFF_2020!$C$38)*$B$7/365-EEFF_2020!$C$51</f>
        <v>2124.00522281379</v>
      </c>
      <c r="D22" s="11" t="n">
        <f aca="false">0</f>
        <v>0</v>
      </c>
      <c r="E22" s="11" t="n">
        <f aca="false">$B$11+B22</f>
        <v>581.01</v>
      </c>
      <c r="F22" s="11" t="n">
        <f aca="false">$B$13+C22</f>
        <v>-2734.46563568294</v>
      </c>
      <c r="G22" s="19" t="n">
        <f aca="false">E22/($B$12+B22)</f>
        <v>0.0753781361500313</v>
      </c>
    </row>
    <row r="23" customFormat="false" ht="15" hidden="false" customHeight="false" outlineLevel="0" collapsed="false">
      <c r="A23" s="7" t="s">
        <v>379</v>
      </c>
      <c r="B23" s="11" t="n">
        <f aca="false">0</f>
        <v>0</v>
      </c>
      <c r="C23" s="15" t="n">
        <f aca="false">EEFF_2020!$C$43*$B$8</f>
        <v>913.986606409203</v>
      </c>
      <c r="D23" s="11" t="n">
        <f aca="false">0</f>
        <v>0</v>
      </c>
      <c r="E23" s="11" t="n">
        <f aca="false">$B$11+B23</f>
        <v>581.01</v>
      </c>
      <c r="F23" s="11" t="n">
        <f aca="false">$B$13+C23</f>
        <v>-3944.48425208753</v>
      </c>
      <c r="G23" s="19" t="n">
        <f aca="false">E23/($B$12+B23)</f>
        <v>0.0753781361500313</v>
      </c>
    </row>
    <row r="24" customFormat="false" ht="15" hidden="false" customHeight="false" outlineLevel="0" collapsed="false">
      <c r="A24" s="25" t="s">
        <v>380</v>
      </c>
      <c r="B24" s="24" t="n">
        <f aca="false">SUM(B19:B23)</f>
        <v>1552.07142857143</v>
      </c>
      <c r="C24" s="24" t="n">
        <f aca="false">SUM(C19:C23)</f>
        <v>9534.06325779442</v>
      </c>
      <c r="D24" s="24" t="n">
        <f aca="false">SUM(D19:D23)</f>
        <v>-10000</v>
      </c>
      <c r="E24" s="24" t="n">
        <f aca="false">$B$11+B24</f>
        <v>2133.08142857143</v>
      </c>
      <c r="F24" s="24" t="n">
        <f aca="false">$B$13+C24</f>
        <v>4675.5923992977</v>
      </c>
      <c r="G24" s="23" t="n">
        <f aca="false">E24/($B$12+B24)</f>
        <v>0.230354131388882</v>
      </c>
    </row>
    <row r="26" customFormat="false" ht="15" hidden="false" customHeight="false" outlineLevel="0" collapsed="false">
      <c r="A26" s="22" t="s">
        <v>381</v>
      </c>
    </row>
    <row r="27" customFormat="false" ht="15" hidden="false" customHeight="false" outlineLevel="0" collapsed="false">
      <c r="A27" s="7" t="s">
        <v>382</v>
      </c>
      <c r="B27" s="15" t="n">
        <f aca="false">EEFF_2020!$B$37</f>
        <v>1541.376</v>
      </c>
    </row>
    <row r="28" customFormat="false" ht="15" hidden="false" customHeight="false" outlineLevel="0" collapsed="false">
      <c r="A28" s="7" t="s">
        <v>383</v>
      </c>
      <c r="B28" s="15" t="n">
        <f aca="false">EEFF_2020!$D$37</f>
        <v>7676.328</v>
      </c>
    </row>
    <row r="29" customFormat="false" ht="15" hidden="false" customHeight="false" outlineLevel="0" collapsed="false">
      <c r="A29" s="7" t="s">
        <v>384</v>
      </c>
      <c r="B29" s="18" t="n">
        <f aca="false">($B$14+D24)/($B$12+B24)</f>
        <v>1.94384251321188</v>
      </c>
    </row>
    <row r="31" customFormat="false" ht="15" hidden="false" customHeight="false" outlineLevel="0" collapsed="false">
      <c r="A31" s="21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13" min="2" style="0" width="14"/>
  </cols>
  <sheetData>
    <row r="1" customFormat="false" ht="16.15" hidden="false" customHeight="false" outlineLevel="0" collapsed="false">
      <c r="A1" s="1" t="s">
        <v>386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15" hidden="false" customHeight="false" outlineLevel="0" collapsed="false">
      <c r="A2" s="3" t="s">
        <v>387</v>
      </c>
    </row>
    <row r="4" customFormat="false" ht="35.05" hidden="false" customHeight="false" outlineLevel="0" collapsed="false">
      <c r="A4" s="4" t="s">
        <v>121</v>
      </c>
      <c r="B4" s="4" t="s">
        <v>388</v>
      </c>
      <c r="C4" s="4" t="s">
        <v>389</v>
      </c>
      <c r="D4" s="4" t="s">
        <v>390</v>
      </c>
      <c r="E4" s="4" t="s">
        <v>391</v>
      </c>
      <c r="F4" s="4" t="s">
        <v>392</v>
      </c>
      <c r="G4" s="4" t="s">
        <v>393</v>
      </c>
      <c r="H4" s="4" t="s">
        <v>394</v>
      </c>
      <c r="I4" s="4" t="s">
        <v>395</v>
      </c>
      <c r="J4" s="4" t="s">
        <v>396</v>
      </c>
      <c r="K4" s="4" t="s">
        <v>397</v>
      </c>
      <c r="L4" s="4" t="s">
        <v>398</v>
      </c>
      <c r="M4" s="4" t="s">
        <v>399</v>
      </c>
    </row>
    <row r="5" customFormat="false" ht="15" hidden="false" customHeight="false" outlineLevel="0" collapsed="false">
      <c r="A5" s="7" t="s">
        <v>400</v>
      </c>
      <c r="F5" s="15" t="n">
        <f aca="false">Supuestos!$B$21</f>
        <v>174000</v>
      </c>
      <c r="L5" s="15" t="n">
        <f aca="false">Supuestos!$B$21</f>
        <v>174000</v>
      </c>
    </row>
    <row r="6" customFormat="false" ht="15" hidden="false" customHeight="false" outlineLevel="0" collapsed="false">
      <c r="A6" s="7" t="s">
        <v>125</v>
      </c>
      <c r="B6" s="17" t="n">
        <f aca="false">Anexos!B25</f>
        <v>0.071</v>
      </c>
      <c r="C6" s="15" t="n">
        <f aca="false">Supuestos!$B$36</f>
        <v>500000</v>
      </c>
      <c r="D6" s="15" t="n">
        <f aca="false">Supuestos!$B$37*B6</f>
        <v>426000</v>
      </c>
      <c r="E6" s="11" t="n">
        <f aca="false">MIN(C6,MAX(0,D6+F6-F5))</f>
        <v>500000</v>
      </c>
      <c r="F6" s="11" t="n">
        <f aca="false">MAX(F7+D7-C7,0)</f>
        <v>248000</v>
      </c>
      <c r="G6" s="15" t="n">
        <f aca="false">D6*Supuestos!$B$45/1000</f>
        <v>2982</v>
      </c>
      <c r="H6" s="15" t="n">
        <f aca="false">Mix_Produccion!$B$81*B6</f>
        <v>127232</v>
      </c>
      <c r="I6" s="15" t="n">
        <f aca="false">Mix_Produccion!$B$82*B6</f>
        <v>298768</v>
      </c>
      <c r="J6" s="11" t="n">
        <f aca="false">C6-H6</f>
        <v>372768</v>
      </c>
      <c r="K6" s="11" t="n">
        <f aca="false">MIN(J6,MAX(0,I6+L6-L5))</f>
        <v>372768</v>
      </c>
      <c r="L6" s="11" t="n">
        <f aca="false">MAX(L7+I7-J7,0)</f>
        <v>248000</v>
      </c>
      <c r="M6" s="15" t="n">
        <f aca="false">(H6*Mix_Produccion!$B$83+I6*Supuestos!$B$45)/1000</f>
        <v>5653.872</v>
      </c>
    </row>
    <row r="7" customFormat="false" ht="15" hidden="false" customHeight="false" outlineLevel="0" collapsed="false">
      <c r="A7" s="7" t="s">
        <v>126</v>
      </c>
      <c r="B7" s="17" t="n">
        <f aca="false">Anexos!B26</f>
        <v>0.09</v>
      </c>
      <c r="C7" s="15" t="n">
        <f aca="false">Supuestos!$B$36</f>
        <v>500000</v>
      </c>
      <c r="D7" s="15" t="n">
        <f aca="false">Supuestos!$B$37*B7</f>
        <v>540000</v>
      </c>
      <c r="E7" s="11" t="n">
        <f aca="false">MIN(C7,MAX(0,D7+F7-F6))</f>
        <v>500000</v>
      </c>
      <c r="F7" s="11" t="n">
        <f aca="false">MAX(F8+D8-C8,0)</f>
        <v>208000</v>
      </c>
      <c r="G7" s="15" t="n">
        <f aca="false">D7*Supuestos!$B$45/1000</f>
        <v>3780</v>
      </c>
      <c r="H7" s="15" t="n">
        <f aca="false">Mix_Produccion!$B$81*B7</f>
        <v>161280</v>
      </c>
      <c r="I7" s="15" t="n">
        <f aca="false">Mix_Produccion!$B$82*B7</f>
        <v>378720</v>
      </c>
      <c r="J7" s="11" t="n">
        <f aca="false">C7-H7</f>
        <v>338720</v>
      </c>
      <c r="K7" s="11" t="n">
        <f aca="false">MIN(J7,MAX(0,I7+L7-L6))</f>
        <v>338720</v>
      </c>
      <c r="L7" s="11" t="n">
        <f aca="false">MAX(L8+I8-J8,0)</f>
        <v>208000</v>
      </c>
      <c r="M7" s="15" t="n">
        <f aca="false">(H7*Mix_Produccion!$B$83+I7*Supuestos!$B$45)/1000</f>
        <v>7166.88</v>
      </c>
    </row>
    <row r="8" customFormat="false" ht="15" hidden="false" customHeight="false" outlineLevel="0" collapsed="false">
      <c r="A8" s="7" t="s">
        <v>127</v>
      </c>
      <c r="B8" s="17" t="n">
        <f aca="false">Anexos!B27</f>
        <v>0.118</v>
      </c>
      <c r="C8" s="15" t="n">
        <f aca="false">Supuestos!$B$36</f>
        <v>500000</v>
      </c>
      <c r="D8" s="15" t="n">
        <f aca="false">Supuestos!$B$37*B8</f>
        <v>708000</v>
      </c>
      <c r="E8" s="11" t="n">
        <f aca="false">MIN(C8,MAX(0,D8+F8-F7))</f>
        <v>500000</v>
      </c>
      <c r="F8" s="11" t="n">
        <f aca="false">MAX(F9+D9-C9,0)</f>
        <v>0</v>
      </c>
      <c r="G8" s="15" t="n">
        <f aca="false">D8*Supuestos!$B$45/1000</f>
        <v>4956</v>
      </c>
      <c r="H8" s="15" t="n">
        <f aca="false">Mix_Produccion!$B$81*B8</f>
        <v>211456</v>
      </c>
      <c r="I8" s="15" t="n">
        <f aca="false">Mix_Produccion!$B$82*B8</f>
        <v>496544</v>
      </c>
      <c r="J8" s="11" t="n">
        <f aca="false">C8-H8</f>
        <v>288544</v>
      </c>
      <c r="K8" s="11" t="n">
        <f aca="false">MIN(J8,MAX(0,I8+L8-L7))</f>
        <v>288544</v>
      </c>
      <c r="L8" s="11" t="n">
        <f aca="false">MAX(L9+I9-J9,0)</f>
        <v>0</v>
      </c>
      <c r="M8" s="15" t="n">
        <f aca="false">(H8*Mix_Produccion!$B$83+I8*Supuestos!$B$45)/1000</f>
        <v>9396.576</v>
      </c>
    </row>
    <row r="9" customFormat="false" ht="15" hidden="false" customHeight="false" outlineLevel="0" collapsed="false">
      <c r="A9" s="7" t="s">
        <v>128</v>
      </c>
      <c r="B9" s="17" t="n">
        <f aca="false">Anexos!B28</f>
        <v>0.075</v>
      </c>
      <c r="C9" s="15" t="n">
        <f aca="false">Supuestos!$B$36</f>
        <v>500000</v>
      </c>
      <c r="D9" s="15" t="n">
        <f aca="false">Supuestos!$B$37*B9</f>
        <v>450000</v>
      </c>
      <c r="E9" s="11" t="n">
        <f aca="false">MIN(C9,MAX(0,D9+F9-F8))</f>
        <v>450000</v>
      </c>
      <c r="F9" s="11" t="n">
        <f aca="false">MAX(F10+D10-C10,0)</f>
        <v>0</v>
      </c>
      <c r="G9" s="15" t="n">
        <f aca="false">D9*Supuestos!$B$45/1000</f>
        <v>3150</v>
      </c>
      <c r="H9" s="15" t="n">
        <f aca="false">Mix_Produccion!$B$81*B9</f>
        <v>134400</v>
      </c>
      <c r="I9" s="15" t="n">
        <f aca="false">Mix_Produccion!$B$82*B9</f>
        <v>315600</v>
      </c>
      <c r="J9" s="11" t="n">
        <f aca="false">C9-H9</f>
        <v>365600</v>
      </c>
      <c r="K9" s="11" t="n">
        <f aca="false">MIN(J9,MAX(0,I9+L9-L8))</f>
        <v>315600</v>
      </c>
      <c r="L9" s="11" t="n">
        <f aca="false">MAX(L10+I10-J10,0)</f>
        <v>0</v>
      </c>
      <c r="M9" s="15" t="n">
        <f aca="false">(H9*Mix_Produccion!$B$83+I9*Supuestos!$B$45)/1000</f>
        <v>5972.4</v>
      </c>
    </row>
    <row r="10" customFormat="false" ht="15" hidden="false" customHeight="false" outlineLevel="0" collapsed="false">
      <c r="A10" s="7" t="s">
        <v>129</v>
      </c>
      <c r="B10" s="17" t="n">
        <f aca="false">Anexos!B29</f>
        <v>0.081</v>
      </c>
      <c r="C10" s="15" t="n">
        <f aca="false">Supuestos!$B$36</f>
        <v>500000</v>
      </c>
      <c r="D10" s="15" t="n">
        <f aca="false">Supuestos!$B$37*B10</f>
        <v>486000</v>
      </c>
      <c r="E10" s="11" t="n">
        <f aca="false">MIN(C10,MAX(0,D10+F10-F9))</f>
        <v>486000</v>
      </c>
      <c r="F10" s="11" t="n">
        <f aca="false">MAX(F11+D11-C11,0)</f>
        <v>0</v>
      </c>
      <c r="G10" s="15" t="n">
        <f aca="false">D10*Supuestos!$B$45/1000</f>
        <v>3402</v>
      </c>
      <c r="H10" s="15" t="n">
        <f aca="false">Mix_Produccion!$B$81*B10</f>
        <v>145152</v>
      </c>
      <c r="I10" s="15" t="n">
        <f aca="false">Mix_Produccion!$B$82*B10</f>
        <v>340848</v>
      </c>
      <c r="J10" s="11" t="n">
        <f aca="false">C10-H10</f>
        <v>354848</v>
      </c>
      <c r="K10" s="11" t="n">
        <f aca="false">MIN(J10,MAX(0,I10+L10-L9))</f>
        <v>340848</v>
      </c>
      <c r="L10" s="11" t="n">
        <f aca="false">MAX(L11+I11-J11,0)</f>
        <v>0</v>
      </c>
      <c r="M10" s="15" t="n">
        <f aca="false">(H10*Mix_Produccion!$B$83+I10*Supuestos!$B$45)/1000</f>
        <v>6450.192</v>
      </c>
    </row>
    <row r="11" customFormat="false" ht="15" hidden="false" customHeight="false" outlineLevel="0" collapsed="false">
      <c r="A11" s="7" t="s">
        <v>130</v>
      </c>
      <c r="B11" s="17" t="n">
        <f aca="false">Anexos!B30</f>
        <v>0.05</v>
      </c>
      <c r="C11" s="15" t="n">
        <f aca="false">Supuestos!$B$36</f>
        <v>500000</v>
      </c>
      <c r="D11" s="15" t="n">
        <f aca="false">Supuestos!$B$37*B11</f>
        <v>300000</v>
      </c>
      <c r="E11" s="11" t="n">
        <f aca="false">MIN(C11,MAX(0,D11+F11-F10))</f>
        <v>390000</v>
      </c>
      <c r="F11" s="11" t="n">
        <f aca="false">MAX(F12+D12-C12,0)</f>
        <v>90000</v>
      </c>
      <c r="G11" s="15" t="n">
        <f aca="false">D11*Supuestos!$B$45/1000</f>
        <v>2100</v>
      </c>
      <c r="H11" s="15" t="n">
        <f aca="false">Mix_Produccion!$B$81*B11</f>
        <v>89600</v>
      </c>
      <c r="I11" s="15" t="n">
        <f aca="false">Mix_Produccion!$B$82*B11</f>
        <v>210400</v>
      </c>
      <c r="J11" s="11" t="n">
        <f aca="false">C11-H11</f>
        <v>410400</v>
      </c>
      <c r="K11" s="11" t="n">
        <f aca="false">MIN(J11,MAX(0,I11+L11-L10))</f>
        <v>300400</v>
      </c>
      <c r="L11" s="11" t="n">
        <f aca="false">MAX(L12+I12-J12,0)</f>
        <v>90000</v>
      </c>
      <c r="M11" s="15" t="n">
        <f aca="false">(H11*Mix_Produccion!$B$83+I11*Supuestos!$B$45)/1000</f>
        <v>3981.6</v>
      </c>
    </row>
    <row r="12" customFormat="false" ht="15" hidden="false" customHeight="false" outlineLevel="0" collapsed="false">
      <c r="A12" s="7" t="s">
        <v>131</v>
      </c>
      <c r="B12" s="17" t="n">
        <f aca="false">Anexos!B31</f>
        <v>0.042</v>
      </c>
      <c r="C12" s="15" t="n">
        <f aca="false">Supuestos!$B$36</f>
        <v>500000</v>
      </c>
      <c r="D12" s="15" t="n">
        <f aca="false">Supuestos!$B$37*B12</f>
        <v>252000</v>
      </c>
      <c r="E12" s="11" t="n">
        <f aca="false">MIN(C12,MAX(0,D12+F12-F11))</f>
        <v>500000</v>
      </c>
      <c r="F12" s="11" t="n">
        <f aca="false">MAX(F13+D13-C13,0)</f>
        <v>338000</v>
      </c>
      <c r="G12" s="15" t="n">
        <f aca="false">D12*Supuestos!$B$45/1000</f>
        <v>1764</v>
      </c>
      <c r="H12" s="15" t="n">
        <f aca="false">Mix_Produccion!$B$81*B12</f>
        <v>75264</v>
      </c>
      <c r="I12" s="15" t="n">
        <f aca="false">Mix_Produccion!$B$82*B12</f>
        <v>176736</v>
      </c>
      <c r="J12" s="11" t="n">
        <f aca="false">C12-H12</f>
        <v>424736</v>
      </c>
      <c r="K12" s="11" t="n">
        <f aca="false">MIN(J12,MAX(0,I12+L12-L11))</f>
        <v>424736</v>
      </c>
      <c r="L12" s="11" t="n">
        <f aca="false">MAX(L13+I13-J13,0)</f>
        <v>338000</v>
      </c>
      <c r="M12" s="15" t="n">
        <f aca="false">(H12*Mix_Produccion!$B$83+I12*Supuestos!$B$45)/1000</f>
        <v>3344.544</v>
      </c>
    </row>
    <row r="13" customFormat="false" ht="15" hidden="false" customHeight="false" outlineLevel="0" collapsed="false">
      <c r="A13" s="7" t="s">
        <v>132</v>
      </c>
      <c r="B13" s="17" t="n">
        <f aca="false">Anexos!B32</f>
        <v>0.033</v>
      </c>
      <c r="C13" s="15" t="n">
        <f aca="false">Supuestos!$B$36</f>
        <v>500000</v>
      </c>
      <c r="D13" s="15" t="n">
        <f aca="false">Supuestos!$B$37*B13</f>
        <v>198000</v>
      </c>
      <c r="E13" s="11" t="n">
        <f aca="false">MIN(C13,MAX(0,D13+F13-F12))</f>
        <v>500000</v>
      </c>
      <c r="F13" s="11" t="n">
        <f aca="false">MAX(F14+D14-C14,0)</f>
        <v>640000</v>
      </c>
      <c r="G13" s="15" t="n">
        <f aca="false">D13*Supuestos!$B$45/1000</f>
        <v>1386</v>
      </c>
      <c r="H13" s="15" t="n">
        <f aca="false">Mix_Produccion!$B$81*B13</f>
        <v>59136</v>
      </c>
      <c r="I13" s="15" t="n">
        <f aca="false">Mix_Produccion!$B$82*B13</f>
        <v>138864</v>
      </c>
      <c r="J13" s="11" t="n">
        <f aca="false">C13-H13</f>
        <v>440864</v>
      </c>
      <c r="K13" s="11" t="n">
        <f aca="false">MIN(J13,MAX(0,I13+L13-L12))</f>
        <v>440864</v>
      </c>
      <c r="L13" s="11" t="n">
        <f aca="false">MAX(L14+I14-J14,0)</f>
        <v>640000</v>
      </c>
      <c r="M13" s="15" t="n">
        <f aca="false">(H13*Mix_Produccion!$B$83+I13*Supuestos!$B$45)/1000</f>
        <v>2627.856</v>
      </c>
    </row>
    <row r="14" customFormat="false" ht="15" hidden="false" customHeight="false" outlineLevel="0" collapsed="false">
      <c r="A14" s="7" t="s">
        <v>133</v>
      </c>
      <c r="B14" s="17" t="n">
        <f aca="false">Anexos!B33</f>
        <v>0.068</v>
      </c>
      <c r="C14" s="15" t="n">
        <f aca="false">Supuestos!$B$36</f>
        <v>500000</v>
      </c>
      <c r="D14" s="15" t="n">
        <f aca="false">Supuestos!$B$37*B14</f>
        <v>408000</v>
      </c>
      <c r="E14" s="11" t="n">
        <f aca="false">MIN(C14,MAX(0,D14+F14-F13))</f>
        <v>500000</v>
      </c>
      <c r="F14" s="11" t="n">
        <f aca="false">MAX(F15+D15-C15,0)</f>
        <v>732000</v>
      </c>
      <c r="G14" s="15" t="n">
        <f aca="false">D14*Supuestos!$B$45/1000</f>
        <v>2856</v>
      </c>
      <c r="H14" s="15" t="n">
        <f aca="false">Mix_Produccion!$B$81*B14</f>
        <v>121856</v>
      </c>
      <c r="I14" s="15" t="n">
        <f aca="false">Mix_Produccion!$B$82*B14</f>
        <v>286144</v>
      </c>
      <c r="J14" s="11" t="n">
        <f aca="false">C14-H14</f>
        <v>378144</v>
      </c>
      <c r="K14" s="11" t="n">
        <f aca="false">MIN(J14,MAX(0,I14+L14-L13))</f>
        <v>378144</v>
      </c>
      <c r="L14" s="11" t="n">
        <f aca="false">MAX(L15+I15-J15,0)</f>
        <v>732000</v>
      </c>
      <c r="M14" s="15" t="n">
        <f aca="false">(H14*Mix_Produccion!$B$83+I14*Supuestos!$B$45)/1000</f>
        <v>5414.976</v>
      </c>
    </row>
    <row r="15" customFormat="false" ht="15" hidden="false" customHeight="false" outlineLevel="0" collapsed="false">
      <c r="A15" s="7" t="s">
        <v>134</v>
      </c>
      <c r="B15" s="17" t="n">
        <f aca="false">Anexos!B34</f>
        <v>0.131</v>
      </c>
      <c r="C15" s="15" t="n">
        <f aca="false">Supuestos!$B$36</f>
        <v>500000</v>
      </c>
      <c r="D15" s="15" t="n">
        <f aca="false">Supuestos!$B$37*B15</f>
        <v>786000</v>
      </c>
      <c r="E15" s="11" t="n">
        <f aca="false">MIN(C15,MAX(0,D15+F15-F14))</f>
        <v>500000</v>
      </c>
      <c r="F15" s="11" t="n">
        <f aca="false">MAX(F16+D16-C16,0)</f>
        <v>446000</v>
      </c>
      <c r="G15" s="15" t="n">
        <f aca="false">D15*Supuestos!$B$45/1000</f>
        <v>5502</v>
      </c>
      <c r="H15" s="15" t="n">
        <f aca="false">Mix_Produccion!$B$81*B15</f>
        <v>234752</v>
      </c>
      <c r="I15" s="15" t="n">
        <f aca="false">Mix_Produccion!$B$82*B15</f>
        <v>551248</v>
      </c>
      <c r="J15" s="11" t="n">
        <f aca="false">C15-H15</f>
        <v>265248</v>
      </c>
      <c r="K15" s="11" t="n">
        <f aca="false">MIN(J15,MAX(0,I15+L15-L14))</f>
        <v>265248</v>
      </c>
      <c r="L15" s="11" t="n">
        <f aca="false">MAX(L16+I16-J16,0)</f>
        <v>446000</v>
      </c>
      <c r="M15" s="15" t="n">
        <f aca="false">(H15*Mix_Produccion!$B$83+I15*Supuestos!$B$45)/1000</f>
        <v>10431.792</v>
      </c>
    </row>
    <row r="16" customFormat="false" ht="15" hidden="false" customHeight="false" outlineLevel="0" collapsed="false">
      <c r="A16" s="7" t="s">
        <v>135</v>
      </c>
      <c r="B16" s="17" t="n">
        <f aca="false">Anexos!B35</f>
        <v>0.121</v>
      </c>
      <c r="C16" s="15" t="n">
        <f aca="false">Supuestos!$B$36</f>
        <v>500000</v>
      </c>
      <c r="D16" s="15" t="n">
        <f aca="false">Supuestos!$B$37*B16</f>
        <v>726000</v>
      </c>
      <c r="E16" s="11" t="n">
        <f aca="false">MIN(C16,MAX(0,D16+F16-F15))</f>
        <v>500000</v>
      </c>
      <c r="F16" s="11" t="n">
        <f aca="false">MAX(F17+D17-C17,0)</f>
        <v>220000</v>
      </c>
      <c r="G16" s="15" t="n">
        <f aca="false">D16*Supuestos!$B$45/1000</f>
        <v>5082</v>
      </c>
      <c r="H16" s="15" t="n">
        <f aca="false">Mix_Produccion!$B$81*B16</f>
        <v>216832</v>
      </c>
      <c r="I16" s="15" t="n">
        <f aca="false">Mix_Produccion!$B$82*B16</f>
        <v>509168</v>
      </c>
      <c r="J16" s="11" t="n">
        <f aca="false">C16-H16</f>
        <v>283168</v>
      </c>
      <c r="K16" s="11" t="n">
        <f aca="false">MIN(J16,MAX(0,I16+L16-L15))</f>
        <v>283168</v>
      </c>
      <c r="L16" s="11" t="n">
        <f aca="false">MAX(L17+I17-J17,0)</f>
        <v>220000</v>
      </c>
      <c r="M16" s="15" t="n">
        <f aca="false">(H16*Mix_Produccion!$B$83+I16*Supuestos!$B$45)/1000</f>
        <v>9635.472</v>
      </c>
    </row>
    <row r="17" customFormat="false" ht="15" hidden="false" customHeight="false" outlineLevel="0" collapsed="false">
      <c r="A17" s="7" t="s">
        <v>136</v>
      </c>
      <c r="B17" s="17" t="n">
        <f aca="false">Anexos!B36</f>
        <v>0.12</v>
      </c>
      <c r="C17" s="15" t="n">
        <f aca="false">Supuestos!$B$36</f>
        <v>500000</v>
      </c>
      <c r="D17" s="15" t="n">
        <f aca="false">Supuestos!$B$37*B17</f>
        <v>720000</v>
      </c>
      <c r="E17" s="11" t="n">
        <f aca="false">MIN(C17,MAX(0,D17+F17-F16))</f>
        <v>500000</v>
      </c>
      <c r="F17" s="15" t="n">
        <f aca="false">Supuestos!$B$69</f>
        <v>0</v>
      </c>
      <c r="G17" s="15" t="n">
        <f aca="false">D17*Supuestos!$B$45/1000</f>
        <v>5040</v>
      </c>
      <c r="H17" s="15" t="n">
        <f aca="false">Mix_Produccion!$B$81*B17</f>
        <v>215040</v>
      </c>
      <c r="I17" s="15" t="n">
        <f aca="false">Mix_Produccion!$B$82*B17</f>
        <v>504960</v>
      </c>
      <c r="J17" s="11" t="n">
        <f aca="false">C17-H17</f>
        <v>284960</v>
      </c>
      <c r="K17" s="11" t="n">
        <f aca="false">MIN(J17,MAX(0,I17+L17-L16))</f>
        <v>284960</v>
      </c>
      <c r="L17" s="15" t="n">
        <f aca="false">Supuestos!$B$69</f>
        <v>0</v>
      </c>
      <c r="M17" s="15" t="n">
        <f aca="false">(H17*Mix_Produccion!$B$83+I17*Supuestos!$B$45)/1000</f>
        <v>9555.84</v>
      </c>
    </row>
    <row r="18" customFormat="false" ht="15" hidden="false" customHeight="false" outlineLevel="0" collapsed="false">
      <c r="A18" s="25" t="s">
        <v>137</v>
      </c>
      <c r="B18" s="23" t="n">
        <f aca="false">SUM(B6:B17)</f>
        <v>1</v>
      </c>
      <c r="C18" s="24" t="n">
        <f aca="false">SUM(C6:C17)</f>
        <v>6000000</v>
      </c>
      <c r="D18" s="24" t="n">
        <f aca="false">SUM(D6:D17)</f>
        <v>6000000</v>
      </c>
      <c r="E18" s="24" t="n">
        <f aca="false">SUM(E6:E17)</f>
        <v>5826000</v>
      </c>
      <c r="F18" s="41"/>
      <c r="G18" s="24" t="n">
        <f aca="false">SUM(G6:G17)</f>
        <v>42000</v>
      </c>
      <c r="H18" s="24" t="n">
        <f aca="false">SUM(H6:H17)</f>
        <v>1792000</v>
      </c>
      <c r="I18" s="24" t="n">
        <f aca="false">SUM(I6:I17)</f>
        <v>4208000</v>
      </c>
      <c r="J18" s="24" t="n">
        <f aca="false">SUM(J6:J17)</f>
        <v>4208000</v>
      </c>
      <c r="K18" s="24" t="n">
        <f aca="false">SUM(K6:K17)</f>
        <v>4034000</v>
      </c>
      <c r="L18" s="41"/>
      <c r="M18" s="24" t="n">
        <f aca="false">SUM(M6:M17)</f>
        <v>79632</v>
      </c>
    </row>
    <row r="20" customFormat="false" ht="15" hidden="false" customHeight="false" outlineLevel="0" collapsed="false">
      <c r="A20" s="7" t="s">
        <v>401</v>
      </c>
      <c r="B20" s="11" t="n">
        <f aca="false">F5+E18-D18-F17</f>
        <v>0</v>
      </c>
    </row>
    <row r="21" customFormat="false" ht="15" hidden="false" customHeight="false" outlineLevel="0" collapsed="false">
      <c r="A21" s="7" t="s">
        <v>402</v>
      </c>
      <c r="B21" s="11" t="n">
        <f aca="false">L5+K18-I18-L17</f>
        <v>0</v>
      </c>
    </row>
    <row r="22" customFormat="false" ht="15" hidden="false" customHeight="false" outlineLevel="0" collapsed="false">
      <c r="A22" s="7" t="s">
        <v>403</v>
      </c>
      <c r="B22" s="45" t="n">
        <f aca="false">COUNTIF(J6:J17,"&lt;0")</f>
        <v>0</v>
      </c>
    </row>
    <row r="24" customFormat="false" ht="15" hidden="false" customHeight="false" outlineLevel="0" collapsed="false">
      <c r="A24" s="5" t="s">
        <v>404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</row>
    <row r="25" customFormat="false" ht="23.85" hidden="false" customHeight="false" outlineLevel="0" collapsed="false">
      <c r="A25" s="4" t="s">
        <v>121</v>
      </c>
      <c r="B25" s="4" t="s">
        <v>405</v>
      </c>
      <c r="C25" s="4" t="s">
        <v>406</v>
      </c>
      <c r="D25" s="4" t="s">
        <v>407</v>
      </c>
      <c r="E25" s="4" t="s">
        <v>408</v>
      </c>
    </row>
    <row r="26" customFormat="false" ht="15" hidden="false" customHeight="false" outlineLevel="0" collapsed="false">
      <c r="A26" s="7" t="s">
        <v>134</v>
      </c>
      <c r="B26" s="11" t="n">
        <f aca="false">G15</f>
        <v>5502</v>
      </c>
      <c r="C26" s="15" t="n">
        <f aca="false">IF("Octubre"="Diciembre",H15*Mix_Produccion!$B$83/1000,0)</f>
        <v>0</v>
      </c>
      <c r="D26" s="15" t="n">
        <f aca="false">I15*Supuestos!$B$45/1000</f>
        <v>3858.736</v>
      </c>
      <c r="E26" s="11" t="n">
        <f aca="false">C26+D26</f>
        <v>3858.736</v>
      </c>
    </row>
    <row r="27" customFormat="false" ht="15" hidden="false" customHeight="false" outlineLevel="0" collapsed="false">
      <c r="A27" s="7" t="s">
        <v>135</v>
      </c>
      <c r="B27" s="11" t="n">
        <f aca="false">G16</f>
        <v>5082</v>
      </c>
      <c r="C27" s="15" t="n">
        <f aca="false">IF("Noviembre"="Diciembre",H16*Mix_Produccion!$B$83/1000,0)</f>
        <v>0</v>
      </c>
      <c r="D27" s="15" t="n">
        <f aca="false">I16*Supuestos!$B$45/1000</f>
        <v>3564.176</v>
      </c>
      <c r="E27" s="11" t="n">
        <f aca="false">C27+D27</f>
        <v>3564.176</v>
      </c>
    </row>
    <row r="28" customFormat="false" ht="15" hidden="false" customHeight="false" outlineLevel="0" collapsed="false">
      <c r="A28" s="7" t="s">
        <v>136</v>
      </c>
      <c r="B28" s="11" t="n">
        <f aca="false">G17</f>
        <v>5040</v>
      </c>
      <c r="C28" s="15" t="n">
        <f aca="false">IF("Diciembre"="Diciembre",H17*Mix_Produccion!$B$83/1000,0)</f>
        <v>6021.12</v>
      </c>
      <c r="D28" s="15" t="n">
        <f aca="false">I17*Supuestos!$B$45/1000</f>
        <v>3534.72</v>
      </c>
      <c r="E28" s="11" t="n">
        <f aca="false">C28+D28</f>
        <v>9555.84</v>
      </c>
    </row>
    <row r="29" customFormat="false" ht="15" hidden="false" customHeight="false" outlineLevel="0" collapsed="false">
      <c r="A29" s="25" t="s">
        <v>409</v>
      </c>
      <c r="B29" s="24" t="n">
        <f aca="false">SUM(B26:B28)</f>
        <v>15624</v>
      </c>
      <c r="C29" s="24" t="n">
        <f aca="false">SUM(C26:C28)</f>
        <v>6021.12</v>
      </c>
      <c r="D29" s="24" t="n">
        <f aca="false">SUM(D26:D28)</f>
        <v>10957.632</v>
      </c>
      <c r="E29" s="24" t="n">
        <f aca="false">SUM(E26:E28)</f>
        <v>16978.752</v>
      </c>
    </row>
    <row r="30" customFormat="false" ht="15" hidden="false" customHeight="false" outlineLevel="0" collapsed="false">
      <c r="A30" s="7" t="s">
        <v>410</v>
      </c>
      <c r="B30" s="15" t="n">
        <f aca="false">Supuestos!$B$22</f>
        <v>7448.928</v>
      </c>
    </row>
    <row r="31" customFormat="false" ht="15" hidden="false" customHeight="false" outlineLevel="0" collapsed="false">
      <c r="A31" s="21" t="s">
        <v>411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2026-10-11T00:57:52Z</dcterms:created>
  <dc:creator>openpyxl</dc:creator>
  <dc:description/>
  <dc:language>en-US</dc:language>
  <cp:lastModifiedBy/>
  <dcterms:modified xsi:type="dcterms:W3CDTF">2026-10-11T00:57:55Z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