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Historicos" sheetId="2" state="visible" r:id="rId4"/>
    <sheet name="Comparables" sheetId="3" state="visible" r:id="rId5"/>
    <sheet name="Costo_Capital" sheetId="4" state="visible" r:id="rId6"/>
    <sheet name="Deuda" sheetId="5" state="visible" r:id="rId7"/>
    <sheet name="Proyeccion" sheetId="6" state="visible" r:id="rId8"/>
    <sheet name="Sinergias" sheetId="7" state="visible" r:id="rId9"/>
    <sheet name="Valoracion" sheetId="8" state="visible" r:id="rId10"/>
    <sheet name="Escenarios" sheetId="9" state="visible" r:id="rId11"/>
    <sheet name="Sensibilidad" sheetId="10" state="visible" r:id="rId12"/>
    <sheet name="Verificacion" sheetId="11" state="visible" r:id="rId13"/>
    <sheet name="Control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6" authorId="0">
      <text>
        <r>
          <rPr>
            <sz val="10"/>
            <rFont val="Arial"/>
            <family val="2"/>
          </rPr>
          <t xml:space="preserve">Supuesto: la caja y los valores negociables de 2007 se usan en la transacción (se valoran como activo no operativo).</t>
        </r>
      </text>
    </comment>
    <comment ref="C74" authorId="0">
      <text>
        <r>
          <rPr>
            <sz val="10"/>
            <rFont val="Arial"/>
            <family val="2"/>
          </rPr>
          <t xml:space="preserve">Patrimonio 2007 menos la deuda nueva neta de la refinanciada, menos la caja usada en la compra. Sin contabilidad de compra (no se registra la nueva plusvalía).</t>
        </r>
      </text>
    </comment>
  </commentList>
</comments>
</file>

<file path=xl/sharedStrings.xml><?xml version="1.0" encoding="utf-8"?>
<sst xmlns="http://schemas.openxmlformats.org/spreadsheetml/2006/main" count="2019" uniqueCount="1625">
  <si>
    <t xml:space="preserve">Supuestos del modelo (millones de US$, salvo indicación)</t>
  </si>
  <si>
    <t xml:space="preserve">Convención: azul = dato o supuesto escrito a mano; negro = fórmula; verde = vínculo a otra hoja; fondo amarillo = selector o supuesto clave que se puede cambiar.</t>
  </si>
  <si>
    <t xml:space="preserve">1. Mercado, deuda e impuestos</t>
  </si>
  <si>
    <t xml:space="preserve">Valor</t>
  </si>
  <si>
    <t xml:space="preserve">Fuente / tipo</t>
  </si>
  <si>
    <t xml:space="preserve">Tasa de impuestos</t>
  </si>
  <si>
    <t xml:space="preserve">Caso, Anexo 1 (40% en todos los años proyectados).</t>
  </si>
  <si>
    <t xml:space="preserve">Costo de la deuda (Kd), BBB+</t>
  </si>
  <si>
    <t xml:space="preserve">Caso, p. 8: 'tasa de interés de aproximadamente 5,50%'.</t>
  </si>
  <si>
    <t xml:space="preserve">Diferencial sobre el bono del Tesoro a 10 años</t>
  </si>
  <si>
    <t xml:space="preserve">Caso, p. 8: '125 pb sobre el rendimiento actual del Tesoro a 10 años'.</t>
  </si>
  <si>
    <t xml:space="preserve">Tasa libre de riesgo (Tesoro a 10 años) = Kd − diferencial</t>
  </si>
  <si>
    <t xml:space="preserve">Derivada del caso (5,50% − 1,25%). El caso no da el plazo de 20 o 30 años.</t>
  </si>
  <si>
    <t xml:space="preserve">Prima de riesgo de mercado (PRM)</t>
  </si>
  <si>
    <t xml:space="preserve">Caso, p. 8: recomendación de Bianco (R&amp;R). No dice período ni si es promedio aritmético o geométrico.</t>
  </si>
  <si>
    <t xml:space="preserve">Cobertura EBITDA / intereses para dimensionar la deuda</t>
  </si>
  <si>
    <t xml:space="preserve">Caso, p. 2 y p. 8 (≥ 5,0x sobre EBITDA 2007).</t>
  </si>
  <si>
    <t xml:space="preserve">Deuda / valor máximo admitido</t>
  </si>
  <si>
    <t xml:space="preserve">Caso, p. 2 y p. 8 (45%-50%).</t>
  </si>
  <si>
    <t xml:space="preserve">Plazo de amortización de la deuda (meses)</t>
  </si>
  <si>
    <t xml:space="preserve">Caso, p. 8 y Anexo 6.</t>
  </si>
  <si>
    <t xml:space="preserve">Mes del pago bullet (refinanciación)</t>
  </si>
  <si>
    <t xml:space="preserve">Caso, p. 8: pago bullet al final del año 5.</t>
  </si>
  <si>
    <t xml:space="preserve">Múltiplo P/U histórico de la industria</t>
  </si>
  <si>
    <t xml:space="preserve">Caso, nota 3.</t>
  </si>
  <si>
    <t xml:space="preserve">Costo de salir a bolsa (% del patrimonio), tope razonable del descuento</t>
  </si>
  <si>
    <t xml:space="preserve">Caso, nota 6.</t>
  </si>
  <si>
    <t xml:space="preserve">Descuento por iliquidez, Anexo 8 (empresa rentable, ingresos US$1.000 MM)</t>
  </si>
  <si>
    <t xml:space="preserve">Lectura aproximada de un gráfico (imagen); el valor exacto no está en el caso.</t>
  </si>
  <si>
    <t xml:space="preserve">Descuento por iliquidez, regla práctica (20%-30%), punto medio</t>
  </si>
  <si>
    <t xml:space="preserve">Caso, p. 8.</t>
  </si>
  <si>
    <t xml:space="preserve">Descuento por iliquidez, investigación académica</t>
  </si>
  <si>
    <t xml:space="preserve">Caso, p. 8 y nota 5 (Moroney 35%; Silber 33,75%).</t>
  </si>
  <si>
    <t xml:space="preserve">2. Selectores de decisiones metodológicas (cambiar el número para ver el efecto)</t>
  </si>
  <si>
    <t xml:space="preserve">Beta desapalancada: 1 = Hamada (βd = 0); 2 = Harris-Pringle (βd = 0); 3 = Harris-Pringle con βd implícita</t>
  </si>
  <si>
    <t xml:space="preserve">Elección propia: la deuda BBB+ paga 125 pb sobre el Tesoro, así que su beta no es cero (ver hoja Costo_Capital).</t>
  </si>
  <si>
    <t xml:space="preserve">Estructura objetivo D/V: 1 = promedio comparables; 2 = mediana comparables; 3 = máximo de R&amp;R (50%)</t>
  </si>
  <si>
    <t xml:space="preserve">Caso, p. 8: la deuda se paga hasta niveles de la industria; nota del Anexo 7: promedio de 3 años.</t>
  </si>
  <si>
    <t xml:space="preserve">Crecimiento a perpetuidad: 1 = fundamental (ROIC × tasa de reinversión 2012); 2 = manual</t>
  </si>
  <si>
    <t xml:space="preserve">Caso, p. 8 y notas 7 y 8: g depende del retorno sobre el capital y de la tasa de reinversión.</t>
  </si>
  <si>
    <t xml:space="preserve">Crecimiento manual (solo si el selector anterior = 2)</t>
  </si>
  <si>
    <t xml:space="preserve">Supuesto propio para sensibilidad; no sale del caso.</t>
  </si>
  <si>
    <t xml:space="preserve">Múltiplo terminal VE/EBITDA: 1 = promedio comparables; 2 = mediana</t>
  </si>
  <si>
    <t xml:space="preserve">Elección propia: la mediana es menos sensible a los extremos (2,6x a 19,1x).</t>
  </si>
  <si>
    <t xml:space="preserve">Valor de afiliadas e interés minoritario: 1 = P/U de la industria; 2 = valor en libros</t>
  </si>
  <si>
    <t xml:space="preserve">Caso, p. 6 y nota 3 (Jennifer propone múltiplos de mercado).</t>
  </si>
  <si>
    <t xml:space="preserve">Margen de las sinergias de ingresos: 1 = margen EBITDA proyectado de ATC; 2 = margen sin SG&amp;A ni equipos</t>
  </si>
  <si>
    <t xml:space="preserve">El caso (Tabla 5) solo da ingresos, no la utilidad bruta que menciona el texto. Supuesto propio.</t>
  </si>
  <si>
    <t xml:space="preserve">Descuento por iliquidez aplicado al patrimonio</t>
  </si>
  <si>
    <t xml:space="preserve">Elección propia (ver informe): comprador estratégico del 100%, empresa grande y rentable con opción de salir a bolsa.</t>
  </si>
  <si>
    <t xml:space="preserve">Porcentaje de sinergias que se realiza</t>
  </si>
  <si>
    <t xml:space="preserve">Escenario base del caso (Tablas 4 y 5).</t>
  </si>
  <si>
    <t xml:space="preserve">Parte de las sinergias de backhaul que se cede al vendedor en el precio objetivo</t>
  </si>
  <si>
    <t xml:space="preserve">Supuesto propio de negociación (reparto en partes iguales de la sinergia más cierta).</t>
  </si>
  <si>
    <t xml:space="preserve">Variación de g para el análisis tornado (± pp)</t>
  </si>
  <si>
    <t xml:space="preserve">Supuesto propio para sensibilidad.</t>
  </si>
  <si>
    <t xml:space="preserve">3. Supuestos operativos 2008-2012 (Anexo 1)</t>
  </si>
  <si>
    <t xml:space="preserve">Año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</si>
  <si>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</si>
  <si>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</si>
  <si>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</si>
  <si>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</si>
  <si>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</si>
  <si>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Crecimiento de ingresos por servicios</t>
  </si>
  <si>
    <t xml:space="preserve">Caso, Anexo 1.</t>
  </si>
  <si>
    <t xml:space="preserve">Costos de operación del sistema / ingresos por servicios</t>
  </si>
  <si>
    <t xml:space="preserve">Costo de equipos vendidos / ingresos por equipos</t>
  </si>
  <si>
    <t xml:space="preserve">Caso, Anexo 1 (240%: los equipos se subsidian).</t>
  </si>
  <si>
    <t xml:space="preserve">SG&amp;A / ingresos totales</t>
  </si>
  <si>
    <t xml:space="preserve">Depreciación y amortización</t>
  </si>
  <si>
    <t xml:space="preserve">Caso, Anexo 1 (valores absolutos).</t>
  </si>
  <si>
    <t xml:space="preserve">Capex / ingresos totales</t>
  </si>
  <si>
    <t xml:space="preserve">Caso, Anexo 1 (incluye licencias y listas de clientes).</t>
  </si>
  <si>
    <t xml:space="preserve">D&amp;A / ingresos totales (implícito en el Anexo 1)</t>
  </si>
  <si>
    <t xml:space="preserve">Derivado: D&amp;A del Anexo 1 / ingresos del escenario base. En los escenarios la D&amp;A se mueve con los ingresos.</t>
  </si>
  <si>
    <t xml:space="preserve">Razones de capital de trabajo (promedio 2005-2007, año de 360 días)</t>
  </si>
  <si>
    <t xml:space="preserve">Ingresos por equipos / ingresos por servicios</t>
  </si>
  <si>
    <t xml:space="preserve">Promedio histórico; coincide con el 7,5% del Anexo 1.</t>
  </si>
  <si>
    <t xml:space="preserve">Días de cartera (sobre ingresos totales)</t>
  </si>
  <si>
    <t xml:space="preserve">Promedio histórico; coincide con 41,67 del Anexo 1.</t>
  </si>
  <si>
    <t xml:space="preserve">Días de inventario (sobre ingresos por equipos)</t>
  </si>
  <si>
    <t xml:space="preserve">Promedio histórico; coincide con 154,36 del Anexo 1. Se calcula sobre ingresos de equipos, no sobre su costo.</t>
  </si>
  <si>
    <t xml:space="preserve">Gastos prepagados / costos operativos en efectivo</t>
  </si>
  <si>
    <t xml:space="preserve">Promedio histórico = 1,38% del Anexo 1. El anexo no dice la base; solo cuadra con costos operativos en efectivo.</t>
  </si>
  <si>
    <t xml:space="preserve">Días de proveedores (sobre costos operativos en efectivo)</t>
  </si>
  <si>
    <t xml:space="preserve">Promedio histórico; coincide con 35,54.</t>
  </si>
  <si>
    <t xml:space="preserve">Días de ingresos diferidos (sobre ingresos por servicios)</t>
  </si>
  <si>
    <t xml:space="preserve">Promedio histórico = 14,01. La nota del Anexo 1 dice 'costos operativos en efectivo', pero solo cuadra con ingresos por servicios.</t>
  </si>
  <si>
    <t xml:space="preserve">Días de pasivos acumulados (sobre costos operativos en efectivo)</t>
  </si>
  <si>
    <t xml:space="preserve">Promedio histórico; coincide con 6,85.</t>
  </si>
  <si>
    <t xml:space="preserve">4. Sinergias (Tablas 4 y 5)</t>
  </si>
  <si>
    <t xml:space="preserve">Costo de backhaul / costos de operación del sistema</t>
  </si>
  <si>
    <t xml:space="preserve">Caso, p. 6 y Tabla 4.</t>
  </si>
  <si>
    <t xml:space="preserve">Reducción del costo de backhaul</t>
  </si>
  <si>
    <t xml:space="preserve">Caso, Tabla 4.</t>
  </si>
  <si>
    <t xml:space="preserve">Suscriptores empresariales promedio (millones)</t>
  </si>
  <si>
    <t xml:space="preserve">Caso, Tabla 5.</t>
  </si>
  <si>
    <t xml:space="preserve">Minutos promedio mensuales por suscriptor</t>
  </si>
  <si>
    <t xml:space="preserve">Ingreso por minuto, clientes empresariales (US$)</t>
  </si>
  <si>
    <t xml:space="preserve">5. Escenarios de riesgo (supuestos propios, motivados por el caso)</t>
  </si>
  <si>
    <t xml:space="preserve">Base</t>
  </si>
  <si>
    <t xml:space="preserve">Precios</t>
  </si>
  <si>
    <t xml:space="preserve">Adquisición</t>
  </si>
  <si>
    <t xml:space="preserve">Combinado</t>
  </si>
  <si>
    <t xml:space="preserve">Ajuste al crecimiento de ingresos por servicios (pp por año)</t>
  </si>
  <si>
    <t xml:space="preserve">El ingreso por minuto cayó 11% en 2007 (Anexo 3). Supuesto propio: −3 pp de crecimiento cada año.</t>
  </si>
  <si>
    <t xml:space="preserve">Ajuste a SG&amp;A / ingresos totales (pp)</t>
  </si>
  <si>
    <t xml:space="preserve">El costo por cliente nuevo subió de US$385 a US$487 en 2007 (Anexo 3). Supuesto propio: +2 pp de SG&amp;A.</t>
  </si>
  <si>
    <t xml:space="preserve">Ajuste a capex / ingresos (pp)</t>
  </si>
  <si>
    <t xml:space="preserve">Disponible para otros escenarios; en cero.</t>
  </si>
  <si>
    <t xml:space="preserve">Datos históricos 2005-2007, controles de consistencia e indicadores (millones de US$)</t>
  </si>
  <si>
    <t xml:space="preserve">A. Estado de resultados (Anexo 4)</t>
  </si>
  <si>
    <t xml:space="preserve">2005</t>
  </si>
  <si>
    <t xml:space="preserve">2006</t>
  </si>
  <si>
    <t xml:space="preserve">2007</t>
  </si>
  <si>
    <t xml:space="preserve">Ingresos por servicios</t>
  </si>
  <si>
    <t xml:space="preserve">Ingresos por equipos</t>
  </si>
  <si>
    <t xml:space="preserve">Ingresos totales</t>
  </si>
  <si>
    <t xml:space="preserve">Costos de operación del sistema</t>
  </si>
  <si>
    <t xml:space="preserve">Costo de equipos vendidos</t>
  </si>
  <si>
    <t xml:space="preserve">Gastos de ventas, generales y de administración (SG&amp;A)</t>
  </si>
  <si>
    <t xml:space="preserve">EBITDA</t>
  </si>
  <si>
    <t xml:space="preserve">EBIT (utilidad operativa)</t>
  </si>
  <si>
    <t xml:space="preserve">Gasto de intereses</t>
  </si>
  <si>
    <t xml:space="preserve">Participación en utilidades de afiliadas</t>
  </si>
  <si>
    <t xml:space="preserve">Ganancias (pérdidas) en inversiones</t>
  </si>
  <si>
    <t xml:space="preserve">Otros ingresos</t>
  </si>
  <si>
    <t xml:space="preserve">Utilidad antes de impuestos</t>
  </si>
  <si>
    <t xml:space="preserve">Impuestos</t>
  </si>
  <si>
    <t xml:space="preserve">Utilidad antes de interés minoritario</t>
  </si>
  <si>
    <t xml:space="preserve">Interés minoritario</t>
  </si>
  <si>
    <t xml:space="preserve">Utilidad neta</t>
  </si>
  <si>
    <t xml:space="preserve">Control: subtotales publicados en el Anexo 4 (PDF)</t>
  </si>
  <si>
    <t xml:space="preserve">Diferencia máx.</t>
  </si>
  <si>
    <t xml:space="preserve">Ingresos totales publicado</t>
  </si>
  <si>
    <t xml:space="preserve">EBITDA publicado</t>
  </si>
  <si>
    <t xml:space="preserve">EBIT (utilidad operativa) publicado</t>
  </si>
  <si>
    <t xml:space="preserve">Utilidad antes de impuestos publicado</t>
  </si>
  <si>
    <t xml:space="preserve">Utilidad antes de interés minoritario publicado</t>
  </si>
  <si>
    <t xml:space="preserve">Utilidad neta publicado</t>
  </si>
  <si>
    <t xml:space="preserve">Diferencia máxima de todos los subtotales del estado de resultados</t>
  </si>
  <si>
    <t xml:space="preserve">B. Balance general (Anexo 5)</t>
  </si>
  <si>
    <t xml:space="preserve">Caja y equivalentes</t>
  </si>
  <si>
    <t xml:space="preserve">Valores negociables</t>
  </si>
  <si>
    <t xml:space="preserve">Cuentas por cobrar</t>
  </si>
  <si>
    <t xml:space="preserve">Inventario</t>
  </si>
  <si>
    <t xml:space="preserve">Gastos prepagados</t>
  </si>
  <si>
    <t xml:space="preserve">Impuestos diferidos (activo corriente)</t>
  </si>
  <si>
    <t xml:space="preserve">Otros activos corrientes</t>
  </si>
  <si>
    <t xml:space="preserve">Total activos corrientes</t>
  </si>
  <si>
    <t xml:space="preserve">Propiedad, planta y equipo</t>
  </si>
  <si>
    <t xml:space="preserve">Licencias</t>
  </si>
  <si>
    <t xml:space="preserve">Listas de clientes</t>
  </si>
  <si>
    <t xml:space="preserve">Títulos de renta variable negociables</t>
  </si>
  <si>
    <t xml:space="preserve">Inversiones en entidades afiliadas</t>
  </si>
  <si>
    <t xml:space="preserve">Nota por cobrar de largo plazo</t>
  </si>
  <si>
    <t xml:space="preserve">Plusvalía (goodwill)</t>
  </si>
  <si>
    <t xml:space="preserve">Otros activos de largo plazo</t>
  </si>
  <si>
    <t xml:space="preserve">Total activos</t>
  </si>
  <si>
    <t xml:space="preserve">Cuentas por pagar</t>
  </si>
  <si>
    <t xml:space="preserve">Ingresos diferidos y depósitos</t>
  </si>
  <si>
    <t xml:space="preserve">Pasivos acumulados</t>
  </si>
  <si>
    <t xml:space="preserve">Impuestos por pagar</t>
  </si>
  <si>
    <t xml:space="preserve">Impuestos diferidos (pasivo corriente)</t>
  </si>
  <si>
    <t xml:space="preserve">Pagaré (deuda de corto plazo)</t>
  </si>
  <si>
    <t xml:space="preserve">Contrato a plazo (corriente)</t>
  </si>
  <si>
    <t xml:space="preserve">Pasivo por derivados (corriente)</t>
  </si>
  <si>
    <t xml:space="preserve">Otros pasivos corrientes</t>
  </si>
  <si>
    <t xml:space="preserve">Total pasivos corrientes</t>
  </si>
  <si>
    <t xml:space="preserve">Deuda de largo plazo</t>
  </si>
  <si>
    <t xml:space="preserve">Contratos a plazo (largo plazo)</t>
  </si>
  <si>
    <t xml:space="preserve">Pasivo por derivados (largo plazo)</t>
  </si>
  <si>
    <t xml:space="preserve">Pasivo por impuestos diferidos</t>
  </si>
  <si>
    <t xml:space="preserve">Obligación por retiro de activos</t>
  </si>
  <si>
    <t xml:space="preserve">Otros pasivos diferidos</t>
  </si>
  <si>
    <t xml:space="preserve">Capital: componente 1 (oculto en la fórmula del Excel del caso)</t>
  </si>
  <si>
    <t xml:space="preserve">Capital: componente 2 (oculto en la fórmula)</t>
  </si>
  <si>
    <t xml:space="preserve">Capital: componente 3, capital pagado adicional (oculto en la fórmula)</t>
  </si>
  <si>
    <t xml:space="preserve">Acciones comunes y capital pagado (total publicado)</t>
  </si>
  <si>
    <t xml:space="preserve">Utilidades retenidas: componente 1 (oculto en la fórmula)</t>
  </si>
  <si>
    <t xml:space="preserve">Utilidades retenidas: componente 2 (oculto)</t>
  </si>
  <si>
    <t xml:space="preserve">Utilidades retenidas: componente 3 (oculto, se resta)</t>
  </si>
  <si>
    <t xml:space="preserve">Utilidades retenidas (total publicado)</t>
  </si>
  <si>
    <t xml:space="preserve">Total pasivos y patrimonio</t>
  </si>
  <si>
    <t xml:space="preserve">Control: activos − pasivos y patrimonio</t>
  </si>
  <si>
    <t xml:space="preserve">Control: totales publicados en el Anexo 5 (PDF)</t>
  </si>
  <si>
    <t xml:space="preserve">Total activos corrientes – publicado</t>
  </si>
  <si>
    <t xml:space="preserve">Total activos – publicado</t>
  </si>
  <si>
    <t xml:space="preserve">Total pasivos corrientes – publicado</t>
  </si>
  <si>
    <t xml:space="preserve">Acciones comunes y capital pagado (total publicado) – publicado</t>
  </si>
  <si>
    <t xml:space="preserve">Utilidades retenidas (total publicado) – publicado</t>
  </si>
  <si>
    <t xml:space="preserve">Total pasivos y patrimonio – publicado</t>
  </si>
  <si>
    <t xml:space="preserve">Diferencia máxima de los totales del balance</t>
  </si>
  <si>
    <t xml:space="preserve">C. Conciliaciones</t>
  </si>
  <si>
    <t xml:space="preserve">Patrimonio contable (capital + utilidades retenidas)</t>
  </si>
  <si>
    <t xml:space="preserve">Variación de utilidades retenidas (componente 1)</t>
  </si>
  <si>
    <t xml:space="preserve">Menos: utilidad neta del año</t>
  </si>
  <si>
    <t xml:space="preserve">Diferencia = dividendos u otros cargos implícitos</t>
  </si>
  <si>
    <t xml:space="preserve">2006 cuadra; en 2007 faltan ~40 (dividendos u otro ajuste no informado).</t>
  </si>
  <si>
    <t xml:space="preserve">Variación de utilidades retenidas publicadas − utilidad neta</t>
  </si>
  <si>
    <t xml:space="preserve">La línea publicada mezcla utilidades retenidas con otros componentes (probablemente ORI).</t>
  </si>
  <si>
    <t xml:space="preserve">Activo fijo neto (PP&amp;E + licencias + listas de clientes)</t>
  </si>
  <si>
    <t xml:space="preserve">Capex implícito = Δ activo fijo neto + D&amp;A</t>
  </si>
  <si>
    <t xml:space="preserve">El caso no publica el capex histórico; se deduce del balance (supone sin ventas ni deterioros).</t>
  </si>
  <si>
    <t xml:space="preserve">Capex implícito / ingresos totales</t>
  </si>
  <si>
    <t xml:space="preserve">D. Indicadores (módulo 2)</t>
  </si>
  <si>
    <t xml:space="preserve">Comparables</t>
  </si>
  <si>
    <t xml:space="preserve">Crecimiento de ingresos totales</t>
  </si>
  <si>
    <t xml:space="preserve">Margen EBITDA</t>
  </si>
  <si>
    <t xml:space="preserve">Margen EBIT</t>
  </si>
  <si>
    <t xml:space="preserve">Margen neto</t>
  </si>
  <si>
    <t xml:space="preserve">Margen de equipos (ingresos − costo) / ingresos por equipos</t>
  </si>
  <si>
    <t xml:space="preserve">ROA (utilidad neta / activos totales)</t>
  </si>
  <si>
    <t xml:space="preserve">ROE (utilidad neta / patrimonio al cierre)</t>
  </si>
  <si>
    <t xml:space="preserve">ROIC (EBIT × (1 − t) / (patrimonio + deuda), definición de la nota 7)</t>
  </si>
  <si>
    <t xml:space="preserve">Días de cartera (sobre ingresos totales, 360 días)</t>
  </si>
  <si>
    <t xml:space="preserve">Días de inventario (sobre ingresos por equipos, convención del Anexo 1)</t>
  </si>
  <si>
    <t xml:space="preserve">Días de inventario (sobre costo de equipos)</t>
  </si>
  <si>
    <t xml:space="preserve">Costos operativos en efectivo (sistema + equipos + SG&amp;A)</t>
  </si>
  <si>
    <t xml:space="preserve">Ciclo de caja = cartera + inventario (costo) − proveedores</t>
  </si>
  <si>
    <t xml:space="preserve">Rotación de activos (ingresos / activos totales)</t>
  </si>
  <si>
    <t xml:space="preserve">Razón corriente</t>
  </si>
  <si>
    <t xml:space="preserve">Prueba ácida ((activo corriente − inventario) / pasivo corriente)</t>
  </si>
  <si>
    <t xml:space="preserve">Deuda financiera / patrimonio contable</t>
  </si>
  <si>
    <t xml:space="preserve">Deuda financiera / EBITDA</t>
  </si>
  <si>
    <t xml:space="preserve">EBITDA / intereses</t>
  </si>
  <si>
    <t xml:space="preserve">(Caja + valores negociables) / ingresos totales</t>
  </si>
  <si>
    <t xml:space="preserve">D&amp;A / ingresos totales</t>
  </si>
  <si>
    <t xml:space="preserve">Tasa efectiva de impuestos</t>
  </si>
  <si>
    <t xml:space="preserve">Datos de clientes (Anexo 3)</t>
  </si>
  <si>
    <t xml:space="preserve">Adiciones netas de clientes (miles)</t>
  </si>
  <si>
    <t xml:space="preserve">Costo por cliente nuevo (US$)</t>
  </si>
  <si>
    <t xml:space="preserve">ARPU mensual (US$)</t>
  </si>
  <si>
    <t xml:space="preserve">Minutos por cliente al mes</t>
  </si>
  <si>
    <t xml:space="preserve">Tasa mensual de abandono (churn)</t>
  </si>
  <si>
    <t xml:space="preserve">Costo total de clientes nuevos (miles de US$)</t>
  </si>
  <si>
    <t xml:space="preserve">Ingreso por minuto (US$)</t>
  </si>
  <si>
    <t xml:space="preserve">Variación del ingreso por minuto</t>
  </si>
  <si>
    <t xml:space="preserve">Variación del costo por cliente nuevo</t>
  </si>
  <si>
    <t xml:space="preserve">Variación de los minutos por cliente</t>
  </si>
  <si>
    <t xml:space="preserve">Variación del ARPU</t>
  </si>
  <si>
    <t xml:space="preserve">Control: costo de clientes nuevos publicado (miles de US$)</t>
  </si>
  <si>
    <t xml:space="preserve">Control: costo de equipos / ingresos por equipos publicado</t>
  </si>
  <si>
    <t xml:space="preserve">Tabla 2 del caso (publicada): rendimiento sobre activos operativos netos</t>
  </si>
  <si>
    <t xml:space="preserve">Tabla 2: ROE publicado</t>
  </si>
  <si>
    <t xml:space="preserve">Tabla 2: rotación de activos publicada</t>
  </si>
  <si>
    <t xml:space="preserve">Activos operativos netos implícitos en la Tabla 2 (ingresos / rotación)</t>
  </si>
  <si>
    <t xml:space="preserve">El caso no define 'activos operativos netos'; no se logró replicar la base exacta.</t>
  </si>
  <si>
    <t xml:space="preserve">EBIT × (1 − t) / activos operativos implícitos (debe igualar la Tabla 2)</t>
  </si>
  <si>
    <t xml:space="preserve">E. Mercados (Anexo 2, miles de personas)</t>
  </si>
  <si>
    <t xml:space="preserve">Población</t>
  </si>
  <si>
    <t xml:space="preserve">Clientes</t>
  </si>
  <si>
    <t xml:space="preserve">Penetración</t>
  </si>
  <si>
    <t xml:space="preserve">Mercados consolidados: Central US</t>
  </si>
  <si>
    <t xml:space="preserve">Mercados consolidados: Mid-Atlantic</t>
  </si>
  <si>
    <t xml:space="preserve">Mercados consolidados: New England</t>
  </si>
  <si>
    <t xml:space="preserve">Mercados consolidados: Northwest</t>
  </si>
  <si>
    <t xml:space="preserve">Mercados consolidados: New York</t>
  </si>
  <si>
    <t xml:space="preserve">Mercados consolidados: total</t>
  </si>
  <si>
    <t xml:space="preserve">Mercados en operación: Central US</t>
  </si>
  <si>
    <t xml:space="preserve">Mercados en operación: Mid-Atlantic</t>
  </si>
  <si>
    <t xml:space="preserve">Mercados en operación: New England</t>
  </si>
  <si>
    <t xml:space="preserve">Mercados en operación: Northwest</t>
  </si>
  <si>
    <t xml:space="preserve">Mercados en operación: New York</t>
  </si>
  <si>
    <t xml:space="preserve">Mercados en operación: total</t>
  </si>
  <si>
    <t xml:space="preserve">F. Flujo de caja histórico, método indirecto (módulo 3)</t>
  </si>
  <si>
    <t xml:space="preserve">+ Depreciación y amortización</t>
  </si>
  <si>
    <t xml:space="preserve">− Aumento de cartera, inventario, prepagados y otros activos corrientes</t>
  </si>
  <si>
    <t xml:space="preserve">+ Aumento de proveedores, ingresos diferidos, acumulados, impuestos por pagar y otros</t>
  </si>
  <si>
    <t xml:space="preserve">+ Variación neta de impuestos diferidos</t>
  </si>
  <si>
    <t xml:space="preserve">+ Aumento de retiro de activos y otros pasivos diferidos</t>
  </si>
  <si>
    <t xml:space="preserve">Flujo de caja operativo</t>
  </si>
  <si>
    <t xml:space="preserve">− Capex implícito (activo fijo, licencias y listas de clientes)</t>
  </si>
  <si>
    <t xml:space="preserve">− Aumento de plusvalía (adquisiciones)</t>
  </si>
  <si>
    <t xml:space="preserve">− Compra neta de valores negociables y títulos de renta variable</t>
  </si>
  <si>
    <t xml:space="preserve">− Aumento de inversiones en afiliadas, nota por cobrar y otros activos LP</t>
  </si>
  <si>
    <t xml:space="preserve">Flujo de caja de inversión</t>
  </si>
  <si>
    <t xml:space="preserve">+ Variación de deuda (pagaré + largo plazo)</t>
  </si>
  <si>
    <t xml:space="preserve">+ Variación de contratos a plazo y derivados</t>
  </si>
  <si>
    <t xml:space="preserve">+ Variación de interés minoritario</t>
  </si>
  <si>
    <t xml:space="preserve">+ Aportes de capital</t>
  </si>
  <si>
    <t xml:space="preserve">+ Otros movimientos patrimoniales (Δ utilidades retenidas − utilidad neta)</t>
  </si>
  <si>
    <t xml:space="preserve">Flujo de caja de financiación</t>
  </si>
  <si>
    <t xml:space="preserve">Variación de caja según flujo</t>
  </si>
  <si>
    <t xml:space="preserve">Variación de caja según balance</t>
  </si>
  <si>
    <t xml:space="preserve">Control: diferencia</t>
  </si>
  <si>
    <t xml:space="preserve">Flujo de caja libre operativo = EBIT×(1−t) + D&amp;A − capex − Δ capital de trabajo operativo</t>
  </si>
  <si>
    <t xml:space="preserve">Capital de trabajo operativo neto (CxC + inventario + prepagados − CxP − diferidos − acumulados)</t>
  </si>
  <si>
    <t xml:space="preserve">Promedios 2005-2007 usados en la proyección</t>
  </si>
  <si>
    <t xml:space="preserve">Comparables inalámbricos (Anexo 7) y Tabla 3</t>
  </si>
  <si>
    <t xml:space="preserve">Unidades del Anexo 7 rotuladas como miles de US$; por magnitud parecen millones. Las razones no dependen de la unidad.</t>
  </si>
  <si>
    <t xml:space="preserve">Empresa</t>
  </si>
  <si>
    <t xml:space="preserve">Patrimonio de mercado</t>
  </si>
  <si>
    <t xml:space="preserve">Deuda neta</t>
  </si>
  <si>
    <t xml:space="preserve">D/V publicado</t>
  </si>
  <si>
    <t xml:space="preserve">D/P publicado</t>
  </si>
  <si>
    <t xml:space="preserve">Beta patrimonio</t>
  </si>
  <si>
    <t xml:space="preserve">Ingresos</t>
  </si>
  <si>
    <t xml:space="preserve">EBIT</t>
  </si>
  <si>
    <t xml:space="preserve">D/V calculado</t>
  </si>
  <si>
    <t xml:space="preserve">Valor empresa (VE)</t>
  </si>
  <si>
    <t xml:space="preserve">VE/EBITDA</t>
  </si>
  <si>
    <t xml:space="preserve">VE/EBIT</t>
  </si>
  <si>
    <t xml:space="preserve">VE/Ingresos</t>
  </si>
  <si>
    <t xml:space="preserve">P/U</t>
  </si>
  <si>
    <t xml:space="preserve">D/P calculado</t>
  </si>
  <si>
    <t xml:space="preserve">Universal Mobile</t>
  </si>
  <si>
    <t xml:space="preserve">Neuberger Wireless</t>
  </si>
  <si>
    <t xml:space="preserve">Agile Connections</t>
  </si>
  <si>
    <t xml:space="preserve">Big Country Communications</t>
  </si>
  <si>
    <t xml:space="preserve">Rocky Mountain Wireless</t>
  </si>
  <si>
    <t xml:space="preserve">Promedio</t>
  </si>
  <si>
    <t xml:space="preserve">D/P promedio publicado (referencia para indicadores)</t>
  </si>
  <si>
    <t xml:space="preserve">Mediana</t>
  </si>
  <si>
    <t xml:space="preserve">Tabla 3 publicada (promedio de márgenes)</t>
  </si>
  <si>
    <t xml:space="preserve">Control: diferencia Tabla 3 vs. recalculado</t>
  </si>
  <si>
    <t xml:space="preserve">Control: D/V publicado − calculado (máx.)</t>
  </si>
  <si>
    <t xml:space="preserve">Inconsistencia: D/P promedio publicado vs. D/P implícito en el D/V promedio</t>
  </si>
  <si>
    <t xml:space="preserve">AirThread 2007 (Tabla 3: EBIT 11,4%, EBITDA 26,2%, neto 8,0%)</t>
  </si>
  <si>
    <t xml:space="preserve">Betas desapalancadas por empresa</t>
  </si>
  <si>
    <t xml:space="preserve">E/V</t>
  </si>
  <si>
    <t xml:space="preserve">1 Hamada (βd=0)</t>
  </si>
  <si>
    <t xml:space="preserve">2 Harris-Pringle (βd=0)</t>
  </si>
  <si>
    <t xml:space="preserve">3 Harris-Pringle (βd&gt;0)</t>
  </si>
  <si>
    <t xml:space="preserve">Nota: se usan D/V y D/P calculados con deuda neta, como en el anexo; el anexo aclara que reflejan promedios de 3 años.</t>
  </si>
  <si>
    <t xml:space="preserve">Costo de capital: insumos, opciones y elección</t>
  </si>
  <si>
    <t xml:space="preserve">A. Insumos elegidos</t>
  </si>
  <si>
    <t xml:space="preserve">Tasa libre de riesgo (Tesoro 10 años)</t>
  </si>
  <si>
    <t xml:space="preserve">Prima de riesgo de mercado</t>
  </si>
  <si>
    <t xml:space="preserve">Costo de la deuda antes de impuestos (Kd)</t>
  </si>
  <si>
    <t xml:space="preserve">Beta de la deuda implícita en el CAPM = (Kd − rf) / PRM</t>
  </si>
  <si>
    <t xml:space="preserve">Kd = rf + βd × PRM ⇒ βd = 0,25. La deuda BBB+ tiene riesgo sistemático; ignorarlo subestima Ku.</t>
  </si>
  <si>
    <t xml:space="preserve">Beta desapalancada (activos) según selector</t>
  </si>
  <si>
    <t xml:space="preserve">Costo de capital no apalancado Ku = rf + βu × PRM</t>
  </si>
  <si>
    <t xml:space="preserve">Estructura objetivo D/V (post 2012, valor terminal)</t>
  </si>
  <si>
    <t xml:space="preserve">D/P objetivo = L / (1 − L)</t>
  </si>
  <si>
    <t xml:space="preserve">Beta de la deuda usada al reapalancar</t>
  </si>
  <si>
    <t xml:space="preserve">Beta del patrimonio reapalancada</t>
  </si>
  <si>
    <t xml:space="preserve">Costo del patrimonio Ke = rf + βe × PRM</t>
  </si>
  <si>
    <t xml:space="preserve">CPPC (WACC) objetivo = E/V × Ke + D/V × Kd × (1 − t)</t>
  </si>
  <si>
    <t xml:space="preserve">Control (solo Harris-Pringle): Ku − t × Kd × D/V</t>
  </si>
  <si>
    <t xml:space="preserve">Prima por tamaño</t>
  </si>
  <si>
    <t xml:space="preserve">El caso no da primas por tamaño, regulación ni país: se dejan en 0 (ver justificación en la sección B).</t>
  </si>
  <si>
    <t xml:space="preserve">Prima por riesgo regulatorio</t>
  </si>
  <si>
    <t xml:space="preserve">Prima por riesgo país</t>
  </si>
  <si>
    <t xml:space="preserve">B. Opciones defendibles por insumo y su efecto en el valor del patrimonio (millones de US$)</t>
  </si>
  <si>
    <t xml:space="preserve">Insumo / opción</t>
  </si>
  <si>
    <t xml:space="preserve">Ku</t>
  </si>
  <si>
    <t xml:space="preserve">CPPC objetivo</t>
  </si>
  <si>
    <t xml:space="preserve">Patrimonio</t>
  </si>
  <si>
    <t xml:space="preserve">Δ vs. base</t>
  </si>
  <si>
    <t xml:space="preserve">Fuente / comentario</t>
  </si>
  <si>
    <t xml:space="preserve">Beta: 1 Hamada, βd = 0</t>
  </si>
  <si>
    <t xml:space="preserve">Supone deuda fija y sin riesgo; incoherente con Kd &gt; rf.</t>
  </si>
  <si>
    <t xml:space="preserve">Beta: 2 Harris-Pringle, βd = 0</t>
  </si>
  <si>
    <t xml:space="preserve">Deuda reequilibrada; ignora el riesgo de la deuda.</t>
  </si>
  <si>
    <t xml:space="preserve">Beta: 3 Harris-Pringle, βd = 0,25 (elegida)</t>
  </si>
  <si>
    <t xml:space="preserve">Coherente con Kd = 5,5% y con un valor terminal a CPPC con deuda reequilibrada.</t>
  </si>
  <si>
    <t xml:space="preserve">PRM 4% (supuesto propio, sensibilidad)</t>
  </si>
  <si>
    <t xml:space="preserve">El caso solo da 5%. Ku = rf + PRM × promedio(E/V × βe) + (Kd − rf) × D/V promedio (método 3).</t>
  </si>
  <si>
    <t xml:space="preserve">PRM 6% (supuesto propio, sensibilidad)</t>
  </si>
  <si>
    <t xml:space="preserve">Ídem.</t>
  </si>
  <si>
    <t xml:space="preserve">D/V objetivo: promedio comparables (elegida)</t>
  </si>
  <si>
    <t xml:space="preserve">Anexo 7; el caso pide converger a la norma de la industria.</t>
  </si>
  <si>
    <t xml:space="preserve">D/V objetivo: mediana comparables</t>
  </si>
  <si>
    <t xml:space="preserve">Anexo 7.</t>
  </si>
  <si>
    <t xml:space="preserve">D/V objetivo: 50% (máximo de R&amp;R) a perpetuidad</t>
  </si>
  <si>
    <t xml:space="preserve">Agresivo: R&amp;R lo plantea para la compra, no como estructura permanente.</t>
  </si>
  <si>
    <t xml:space="preserve">Primas por tamaño, regulación o país</t>
  </si>
  <si>
    <t xml:space="preserve">No se suman: los comparables son operadores de EE. UU. con la misma regulación (FCC); el caso no da prima por tamaño.</t>
  </si>
  <si>
    <t xml:space="preserve">Variable decisiva: crecimiento a perpetuidad y método del valor terminal (ver hojas Sensibilidad y Valoracion).</t>
  </si>
  <si>
    <t xml:space="preserve">Moneda e inflación: flujos en US$ nominales; rf nominal en US$; el caso no da inflación. g nominal.</t>
  </si>
  <si>
    <t xml:space="preserve">Plazo de rf: 10 años, el único que da el caso; los flujos son perpetuos (un bono a 20-30 años sería más coherente).</t>
  </si>
  <si>
    <t xml:space="preserve">Deuda de adquisición: préstamo amortizable a 10 años con pago bullet al mes 60 (Anexo 6)</t>
  </si>
  <si>
    <t xml:space="preserve">EBITDA 2007</t>
  </si>
  <si>
    <t xml:space="preserve">Anexo 6 publicado: deuda inicial 3.758, cuota 41, saldo antes del bullet 2.166.</t>
  </si>
  <si>
    <t xml:space="preserve">Intereses máximos = EBITDA / cobertura</t>
  </si>
  <si>
    <t xml:space="preserve">Deuda inicial = intereses máximos / Kd</t>
  </si>
  <si>
    <t xml:space="preserve">Cuota mensual (amortización a 120 meses)</t>
  </si>
  <si>
    <t xml:space="preserve">Mes</t>
  </si>
  <si>
    <t xml:space="preserve">Fecha</t>
  </si>
  <si>
    <t xml:space="preserve">Saldo inicial</t>
  </si>
  <si>
    <t xml:space="preserve">Cuota</t>
  </si>
  <si>
    <t xml:space="preserve">Interés</t>
  </si>
  <si>
    <t xml:space="preserve">Capital</t>
  </si>
  <si>
    <t xml:space="preserve">Pago bullet</t>
  </si>
  <si>
    <t xml:space="preserve">Saldo final</t>
  </si>
  <si>
    <t xml:space="preserve">Resumen anual</t>
  </si>
  <si>
    <t xml:space="preserve">Intereses</t>
  </si>
  <si>
    <t xml:space="preserve">Amortización ordinaria de capital</t>
  </si>
  <si>
    <t xml:space="preserve">Pago bullet (refinanciado)</t>
  </si>
  <si>
    <t xml:space="preserve">Saldo al cierre antes del bullet</t>
  </si>
  <si>
    <t xml:space="preserve">Escudo fiscal = intereses × t</t>
  </si>
  <si>
    <t xml:space="preserve">Saldo publicado en el Anexo 6</t>
  </si>
  <si>
    <t xml:space="preserve">Control: diferencia (fila 16 − fila 14)</t>
  </si>
  <si>
    <t xml:space="preserve">Saldo comparable con el Anexo 6 (2012: inicio del mes 60)</t>
  </si>
  <si>
    <t xml:space="preserve">Cobertura EBITDA 2007 / intereses del año 1</t>
  </si>
  <si>
    <t xml:space="preserve">Nota: el Anexo 6 rotula 84 períodos restantes en el mes 41 (deberían ser 79); no afecta la cuota.</t>
  </si>
  <si>
    <t xml:space="preserve">Proyección 2008-2012 sin sinergias y estados financieros proforma (millones de US$)</t>
  </si>
  <si>
    <t xml:space="preserve">Flujo de caja libre (escenario base)</t>
  </si>
  <si>
    <t xml:space="preserve">2007 real</t>
  </si>
  <si>
    <t xml:space="preserve">2013 normal.</t>
  </si>
  <si>
    <t xml:space="preserve">SG&amp;A</t>
  </si>
  <si>
    <t xml:space="preserve">Impuestos operativos (EBIT × t)</t>
  </si>
  <si>
    <t xml:space="preserve">Utilidad operativa después de impuestos (NOPAT)</t>
  </si>
  <si>
    <t xml:space="preserve">Costos operativos en efectivo</t>
  </si>
  <si>
    <t xml:space="preserve">Ingresos diferidos</t>
  </si>
  <si>
    <t xml:space="preserve">Capital de trabajo operativo neto</t>
  </si>
  <si>
    <t xml:space="preserve">Aumento del capital de trabajo operativo neto</t>
  </si>
  <si>
    <t xml:space="preserve">Capex</t>
  </si>
  <si>
    <t xml:space="preserve">Flujo de caja libre no apalancado</t>
  </si>
  <si>
    <t xml:space="preserve">Capital invertido contable (patrimonio + deuda)</t>
  </si>
  <si>
    <t xml:space="preserve">ROIC (NOPAT / capital invertido al inicio del año)</t>
  </si>
  <si>
    <t xml:space="preserve">Tasa de reinversión = (capex − D&amp;A + Δ capital de trabajo) / NOPAT</t>
  </si>
  <si>
    <t xml:space="preserve">Crecimiento fundamental = ROIC 2012 × tasa de reinversión 2012</t>
  </si>
  <si>
    <t xml:space="preserve">Crecimiento a perpetuidad usado (g)</t>
  </si>
  <si>
    <t xml:space="preserve">Tasa de reinversión de largo plazo = g / ROIC 2012</t>
  </si>
  <si>
    <t xml:space="preserve">Valor terminal 2012 = FCF 2013 / (CPPC − g)</t>
  </si>
  <si>
    <t xml:space="preserve">Valor terminal 2012 por múltiplo VE/EBITDA (contraste)</t>
  </si>
  <si>
    <t xml:space="preserve">VP de los FCF 2008-2012 a Ku</t>
  </si>
  <si>
    <t xml:space="preserve">VP del valor terminal a Ku</t>
  </si>
  <si>
    <t xml:space="preserve">VP de los escudos fiscales 2008-2012 a Kd</t>
  </si>
  <si>
    <t xml:space="preserve">Valor de las operaciones (APV)</t>
  </si>
  <si>
    <t xml:space="preserve">+ Activos no operativos</t>
  </si>
  <si>
    <t xml:space="preserve">− Deuda existente e interés minoritario</t>
  </si>
  <si>
    <t xml:space="preserve">Valor del patrimonio (100%, antes de descuento por iliquidez)</t>
  </si>
  <si>
    <t xml:space="preserve">Estados financieros proforma con la deuda de adquisición (variable de cierre: caja / línea de crédito)</t>
  </si>
  <si>
    <t xml:space="preserve">2007 proforma</t>
  </si>
  <si>
    <t xml:space="preserve">Supuestos del proforma</t>
  </si>
  <si>
    <t xml:space="preserve">Solo operaciones: no se proyectan afiliadas, ganancias en inversiones, otros ingresos ni interés minoritario (se valoran aparte).</t>
  </si>
  <si>
    <t xml:space="preserve">Intereses de la deuda de adquisición</t>
  </si>
  <si>
    <t xml:space="preserve">La deuda existente (1.002) se refinancia con la deuda de adquisición (3.758).</t>
  </si>
  <si>
    <t xml:space="preserve">Intereses de la línea de crédito (Kd sobre saldo inicial)</t>
  </si>
  <si>
    <t xml:space="preserve">Caja inicial 0: la caja de 2007 se usa en la compra. La caja no genera intereses (conservador).</t>
  </si>
  <si>
    <t xml:space="preserve">Sin dividendos: todo el excedente queda como caja; los faltantes los cubre la línea de crédito a Kd.</t>
  </si>
  <si>
    <t xml:space="preserve">En 2012 el saldo bullet se refinancia (no sale caja); a partir de ahí la deuda sigue la estructura objetivo.</t>
  </si>
  <si>
    <t xml:space="preserve">Utilidad neta (solo operaciones)</t>
  </si>
  <si>
    <t xml:space="preserve">Caja</t>
  </si>
  <si>
    <t xml:space="preserve">Otros activos corrientes e impuestos diferidos (constantes)</t>
  </si>
  <si>
    <t xml:space="preserve">Activo fijo neto, licencias y listas de clientes</t>
  </si>
  <si>
    <t xml:space="preserve">Plusvalía (constante)</t>
  </si>
  <si>
    <t xml:space="preserve">Afiliadas, nota por cobrar y otros activos LP (constantes)</t>
  </si>
  <si>
    <t xml:space="preserve">Impuestos por pagar y otros pasivos corrientes (constantes)</t>
  </si>
  <si>
    <t xml:space="preserve">Línea de crédito (variable de cierre)</t>
  </si>
  <si>
    <t xml:space="preserve">Deuda de adquisición (2012: saldo a refinanciar)</t>
  </si>
  <si>
    <t xml:space="preserve">Impuestos diferidos, retiro de activos y otros pasivos LP (constantes)</t>
  </si>
  <si>
    <t xml:space="preserve">Interés minoritario (constante)</t>
  </si>
  <si>
    <t xml:space="preserve">Flujo operativo = utilidad neta + D&amp;A − Δ capital de trabajo</t>
  </si>
  <si>
    <t xml:space="preserve">Flujo de inversión = − capex</t>
  </si>
  <si>
    <t xml:space="preserve">Amortización ordinaria de la deuda</t>
  </si>
  <si>
    <t xml:space="preserve">Variación de la línea de crédito</t>
  </si>
  <si>
    <t xml:space="preserve">Variación de caja</t>
  </si>
  <si>
    <t xml:space="preserve">Control: variación de caja del flujo − del balance</t>
  </si>
  <si>
    <t xml:space="preserve">Caja disponible antes de línea de crédito (caja inicial − línea inicial + flujos − amortización)</t>
  </si>
  <si>
    <t xml:space="preserve">Indicador: margen EBIT</t>
  </si>
  <si>
    <t xml:space="preserve">Indicador: margen neto</t>
  </si>
  <si>
    <t xml:space="preserve">Indicador: ROE (utilidad neta / patrimonio inicial)</t>
  </si>
  <si>
    <t xml:space="preserve">Indicador: deuda total / EBITDA</t>
  </si>
  <si>
    <t xml:space="preserve">Indicador: EBITDA / intereses totales</t>
  </si>
  <si>
    <t xml:space="preserve">Indicador: deuda total / valor de las operaciones (solo 2007)</t>
  </si>
  <si>
    <t xml:space="preserve">Sinergias con American Cable (Tablas 4 y 5), millones de US$</t>
  </si>
  <si>
    <t xml:space="preserve">2013</t>
  </si>
  <si>
    <t xml:space="preserve">Costos de operación del sistema (sin sinergias)</t>
  </si>
  <si>
    <t xml:space="preserve">Backhaul / costos del sistema</t>
  </si>
  <si>
    <t xml:space="preserve">Costo estimado de backhaul</t>
  </si>
  <si>
    <t xml:space="preserve">Ahorro de backhaul (antes de impuestos)</t>
  </si>
  <si>
    <t xml:space="preserve">Minutos mensuales por suscriptor</t>
  </si>
  <si>
    <t xml:space="preserve">Minutos mensuales totales (millones)</t>
  </si>
  <si>
    <t xml:space="preserve">Ingreso anual adicional por clientes empresariales</t>
  </si>
  <si>
    <t xml:space="preserve">Margen EBITDA aplicado a los ingresos adicionales (selector)</t>
  </si>
  <si>
    <t xml:space="preserve">EBITDA adicional por clientes empresariales</t>
  </si>
  <si>
    <t xml:space="preserve">Sinergias totales antes de impuestos</t>
  </si>
  <si>
    <t xml:space="preserve">Sinergias después de impuestos</t>
  </si>
  <si>
    <t xml:space="preserve">Sinergias después de impuestos × % realizado</t>
  </si>
  <si>
    <t xml:space="preserve">Valoración (descontadas a Ku; perpetuidad desde 2013 creciendo a g, sin inversión adicional)</t>
  </si>
  <si>
    <t xml:space="preserve">Backhaul</t>
  </si>
  <si>
    <t xml:space="preserve">Total</t>
  </si>
  <si>
    <t xml:space="preserve">VP de los flujos 2008-2012</t>
  </si>
  <si>
    <t xml:space="preserve">VP del valor terminal</t>
  </si>
  <si>
    <t xml:space="preserve">Valor presente de las sinergias</t>
  </si>
  <si>
    <t xml:space="preserve">Control: total = VP de la fila 'sinergias × % realizado' + valor terminal</t>
  </si>
  <si>
    <t xml:space="preserve">VP de las sinergias con 100% de realización (para sensibilidad)</t>
  </si>
  <si>
    <t xml:space="preserve">Supuestos propios: (1) el caso solo da ingresos empresariales, no su margen; base = margen EBITDA proyectado de ATC;</t>
  </si>
  <si>
    <t xml:space="preserve">(2) no se asume capex ni capital de trabajo adicional (el caso dice que el negocio empresarial usa capacidad ociosa de la red);</t>
  </si>
  <si>
    <t xml:space="preserve">(3) ambos tipos de sinergia se descuentan a Ku; las de ingresos son más inciertas, por eso se muestran por separado;</t>
  </si>
  <si>
    <t xml:space="preserve">(4) los costos de integración no aparecen en el caso y no se incluyen (sesgo al alza del valor de las sinergias).</t>
  </si>
  <si>
    <t xml:space="preserve">Valoración de AirThread: APV (método de American Cable) y contrastes (millones de US$)</t>
  </si>
  <si>
    <t xml:space="preserve">A. Valor de las operaciones (APV, sin sinergias)</t>
  </si>
  <si>
    <t xml:space="preserve">Costo de capital no apalancado (Ku)</t>
  </si>
  <si>
    <t xml:space="preserve">CPPC objetivo para el valor terminal</t>
  </si>
  <si>
    <t xml:space="preserve">Crecimiento a perpetuidad (g)</t>
  </si>
  <si>
    <t xml:space="preserve">VP de los flujos libres 2008-2012</t>
  </si>
  <si>
    <t xml:space="preserve">VP del valor terminal (perpetuidad)</t>
  </si>
  <si>
    <t xml:space="preserve">VP de los escudos fiscales de la deuda de adquisición 2008-2012</t>
  </si>
  <si>
    <t xml:space="preserve">Valor terminal / valor de las operaciones</t>
  </si>
  <si>
    <t xml:space="preserve">B. Activos no operativos y otros derechos</t>
  </si>
  <si>
    <t xml:space="preserve">Caja y valores negociables 2007</t>
  </si>
  <si>
    <t xml:space="preserve">Caso, p. 6: probablemente se usarán para financiar la compra. Se suma completa.</t>
  </si>
  <si>
    <t xml:space="preserve">Participación en utilidades de afiliadas 2007</t>
  </si>
  <si>
    <t xml:space="preserve">Anexo 4.</t>
  </si>
  <si>
    <t xml:space="preserve">Valor de las afiliadas</t>
  </si>
  <si>
    <t xml:space="preserve">Base: P/U de la industria × utilidad (caso, nota 3). Alternativa: valor en libros (157,7).</t>
  </si>
  <si>
    <t xml:space="preserve">Anexo 5, a valor en libros.</t>
  </si>
  <si>
    <t xml:space="preserve">Anexo 5 (cero en 2007).</t>
  </si>
  <si>
    <t xml:space="preserve">Total activos no operativos</t>
  </si>
  <si>
    <t xml:space="preserve">Deuda existente (largo plazo + pagaré), se refinancia</t>
  </si>
  <si>
    <t xml:space="preserve">Anexo 5.</t>
  </si>
  <si>
    <t xml:space="preserve">Interés minoritario en resultados 2007</t>
  </si>
  <si>
    <t xml:space="preserve">Valor del interés minoritario</t>
  </si>
  <si>
    <t xml:space="preserve">Coherente con afiliadas: P/U de la industria. Alternativa: libros (43,4).</t>
  </si>
  <si>
    <t xml:space="preserve">Total deuda e interés minoritario</t>
  </si>
  <si>
    <t xml:space="preserve">C. Valor del patrimonio</t>
  </si>
  <si>
    <t xml:space="preserve">Valor total de la empresa</t>
  </si>
  <si>
    <t xml:space="preserve">Valor del patrimonio, 100%, sin sinergias (valor intrínseco independiente)</t>
  </si>
  <si>
    <t xml:space="preserve">Descuento por iliquidez aplicado</t>
  </si>
  <si>
    <t xml:space="preserve">Valor del patrimonio después del descuento</t>
  </si>
  <si>
    <t xml:space="preserve">+ VP sinergias de backhaul</t>
  </si>
  <si>
    <t xml:space="preserve">+ VP sinergias de ingresos empresariales</t>
  </si>
  <si>
    <t xml:space="preserve">Valor del patrimonio con todas las sinergias</t>
  </si>
  <si>
    <t xml:space="preserve">Control: bloque de la hoja Proyeccion − fila 33</t>
  </si>
  <si>
    <t xml:space="preserve">D. Contrastes</t>
  </si>
  <si>
    <t xml:space="preserve">Valor terminal por múltiplo VE/EBITDA de comparables (2012)</t>
  </si>
  <si>
    <t xml:space="preserve">Múltiplo VE/EBITDA usado</t>
  </si>
  <si>
    <t xml:space="preserve">Múltiplo VE/EBITDA 2012 implícito en el valor terminal por perpetuidad</t>
  </si>
  <si>
    <t xml:space="preserve">Valor de las operaciones con valor terminal por múltiplo</t>
  </si>
  <si>
    <t xml:space="preserve">Patrimonio con valor terminal por múltiplo (sin sinergias)</t>
  </si>
  <si>
    <t xml:space="preserve">Crecimiento implícito en el múltiplo (resuelve VT = NOPAT₂₀₁₂(1+g)(1−g/ROIC)/(CPPC−g))</t>
  </si>
  <si>
    <t xml:space="preserve">Celdas D-F: coeficientes c, a, b de la cuadrática.</t>
  </si>
  <si>
    <t xml:space="preserve">CPPC-DCF a estructura objetivo constante: valor de las operaciones</t>
  </si>
  <si>
    <t xml:space="preserve">Patrimonio por CPPC-DCF (sin sinergias)</t>
  </si>
  <si>
    <t xml:space="preserve">Diferencia APV − CPPC-DCF (valor del endeudamiento inicial por encima del objetivo, neto)</t>
  </si>
  <si>
    <t xml:space="preserve">VE/EBITDA 2007 implícito en el valor de las operaciones</t>
  </si>
  <si>
    <t xml:space="preserve">VE/EBITDA 2008 implícito en el valor de las operaciones</t>
  </si>
  <si>
    <t xml:space="preserve">Valor del patrimonio por múltiplo VE/EBITDA 2007 actual (mediana)</t>
  </si>
  <si>
    <t xml:space="preserve">Valor del patrimonio por P/U de la industria × utilidad neta 2007</t>
  </si>
  <si>
    <t xml:space="preserve">Deuda de adquisición / valor de las operaciones (límite 50%)</t>
  </si>
  <si>
    <t xml:space="preserve">Deuda de adquisición / valor total de la empresa con activos no operativos</t>
  </si>
  <si>
    <t xml:space="preserve">E. Rango de precio para la negociación (patrimonio 100%, millones de US$)</t>
  </si>
  <si>
    <t xml:space="preserve">Apertura: valor independiente con el descuento por iliquidez de una salida a bolsa (10%, nota 6)</t>
  </si>
  <si>
    <t xml:space="preserve">Costo de salir a bolsa: 10% (nota 6 del caso).</t>
  </si>
  <si>
    <t xml:space="preserve">Objetivo: valor independiente + 50% de las sinergias de backhaul</t>
  </si>
  <si>
    <t xml:space="preserve">Comparte con el vendedor la mitad de la sinergia más cierta.</t>
  </si>
  <si>
    <t xml:space="preserve">Precio máximo (retiro): valor independiente + 100% backhaul (sin pagar sinergias de ingresos)</t>
  </si>
  <si>
    <t xml:space="preserve">Por encima, ACC transfiere al vendedor sinergias que solo ACC crea y que son inciertas.</t>
  </si>
  <si>
    <t xml:space="preserve">Referencia: valor con todas las sinergias (no pagar)</t>
  </si>
  <si>
    <t xml:space="preserve">Rendimiento anual exigido sobre el valor de las operaciones = Ku × valor (APV)</t>
  </si>
  <si>
    <t xml:space="preserve">Afiliadas / valor del patrimonio sin sinergias</t>
  </si>
  <si>
    <t xml:space="preserve">Sinergias de ingresos / total de sinergias</t>
  </si>
  <si>
    <t xml:space="preserve">Prima del precio máximo sobre el valor independiente</t>
  </si>
  <si>
    <t xml:space="preserve">VE/EBITDA 2007 implícito en el precio máximo (con deuda existente y minoritario)</t>
  </si>
  <si>
    <t xml:space="preserve">Escenarios de riesgo: el mismo bloque de cálculo con ajustes (millones de US$)</t>
  </si>
  <si>
    <t xml:space="preserve">Escenario: Base</t>
  </si>
  <si>
    <t xml:space="preserve">Escenario: Precios</t>
  </si>
  <si>
    <t xml:space="preserve">Escenario: Adquisición</t>
  </si>
  <si>
    <t xml:space="preserve">Escenario: Combinado</t>
  </si>
  <si>
    <t xml:space="preserve">Resumen de escenarios</t>
  </si>
  <si>
    <t xml:space="preserve">EBITDA 2012</t>
  </si>
  <si>
    <t xml:space="preserve">Margen EBITDA 2012</t>
  </si>
  <si>
    <t xml:space="preserve">FCF 2012</t>
  </si>
  <si>
    <t xml:space="preserve">Valor del patrimonio sin sinergias</t>
  </si>
  <si>
    <t xml:space="preserve">Δ patrimonio vs. base</t>
  </si>
  <si>
    <t xml:space="preserve">Control: escenario base de esta hoja − valor de la hoja Valoracion</t>
  </si>
  <si>
    <t xml:space="preserve">Sensibilidad del valor del patrimonio sin sinergias (millones de US$)</t>
  </si>
  <si>
    <t xml:space="preserve">1. Ku (filas) × crecimiento a perpetuidad g (columnas). CPPC = Ku − t × Kd × D/V; FCF₂₀₁₃ = NOPAT₂₀₁₂(1+g)(1 − g/ROIC).</t>
  </si>
  <si>
    <t xml:space="preserve">Base: Ku y g del modelo →</t>
  </si>
  <si>
    <t xml:space="preserve">2. Múltiplo VE/EBITDA terminal (valor terminal por múltiplo, descontado a Ku)</t>
  </si>
  <si>
    <t xml:space="preserve">Múltiplo</t>
  </si>
  <si>
    <t xml:space="preserve">3. Descuento por iliquidez</t>
  </si>
  <si>
    <t xml:space="preserve">5. Realización de las sinergias</t>
  </si>
  <si>
    <t xml:space="preserve">Ninguno (base)</t>
  </si>
  <si>
    <t xml:space="preserve">Costo de salir a bolsa</t>
  </si>
  <si>
    <t xml:space="preserve">Anexo 8 (lectura)</t>
  </si>
  <si>
    <t xml:space="preserve">Regla práctica</t>
  </si>
  <si>
    <t xml:space="preserve">Académico</t>
  </si>
  <si>
    <t xml:space="preserve">Descuento</t>
  </si>
  <si>
    <t xml:space="preserve">Realizado</t>
  </si>
  <si>
    <t xml:space="preserve">4. Tornado: efecto de cada decisión sobre el patrimonio sin sinergias</t>
  </si>
  <si>
    <t xml:space="preserve">Bajo</t>
  </si>
  <si>
    <t xml:space="preserve">Alto</t>
  </si>
  <si>
    <t xml:space="preserve">Rango</t>
  </si>
  <si>
    <t xml:space="preserve">Supuesto</t>
  </si>
  <si>
    <t xml:space="preserve">g ± 0,5 pp</t>
  </si>
  <si>
    <t xml:space="preserve">g del modelo ± 0,5 pp</t>
  </si>
  <si>
    <t xml:space="preserve">Método de beta (opciones 1 a 3)</t>
  </si>
  <si>
    <t xml:space="preserve">Hamada / Harris-Pringle</t>
  </si>
  <si>
    <t xml:space="preserve">PRM 4% - 6%</t>
  </si>
  <si>
    <t xml:space="preserve">Supuesto propio</t>
  </si>
  <si>
    <t xml:space="preserve">D/V objetivo (mediana a 50%)</t>
  </si>
  <si>
    <t xml:space="preserve">Anexo 7 y R&amp;R</t>
  </si>
  <si>
    <t xml:space="preserve">Valor terminal: perpetuidad vs. múltiplo</t>
  </si>
  <si>
    <t xml:space="preserve">Anexo 7</t>
  </si>
  <si>
    <t xml:space="preserve">Afiliadas y minoritario: libros vs. P/U</t>
  </si>
  <si>
    <t xml:space="preserve">Nota 3</t>
  </si>
  <si>
    <t xml:space="preserve">Descuento por iliquidez 0% - 25%</t>
  </si>
  <si>
    <t xml:space="preserve">Caso, p. 8</t>
  </si>
  <si>
    <t xml:space="preserve">Escenario combinado de riesgo</t>
  </si>
  <si>
    <t xml:space="preserve">Hoja Escenarios</t>
  </si>
  <si>
    <t xml:space="preserve">Variable con mayor rango</t>
  </si>
  <si>
    <t xml:space="preserve">Verificación cruzada: Python independiente vs. Excel</t>
  </si>
  <si>
    <t xml:space="preserve">Cifra</t>
  </si>
  <si>
    <t xml:space="preserve">Excel</t>
  </si>
  <si>
    <t xml:space="preserve">Python</t>
  </si>
  <si>
    <t xml:space="preserve">Diferencia</t>
  </si>
  <si>
    <t xml:space="preserve">¿Coincide?</t>
  </si>
  <si>
    <t xml:space="preserve">rf (Supuestos!C9)</t>
  </si>
  <si>
    <t xml:space="preserve">beta_u_hamada (Comparables!C28)</t>
  </si>
  <si>
    <t xml:space="preserve">beta_u_hp0 (Comparables!D28)</t>
  </si>
  <si>
    <t xml:space="preserve">beta_u (Costo_Capital!C9)</t>
  </si>
  <si>
    <t xml:space="preserve">ku (Costo_Capital!C10)</t>
  </si>
  <si>
    <t xml:space="preserve">wacc (Costo_Capital!C17)</t>
  </si>
  <si>
    <t xml:space="preserve">wacc_formula_completa (Costo_Capital!C16)</t>
  </si>
  <si>
    <t xml:space="preserve">d0 (Deuda!C5)</t>
  </si>
  <si>
    <t xml:space="preserve">cuota (Deuda!C6)</t>
  </si>
  <si>
    <t xml:space="preserve">int_2008 (Deuda!L9)</t>
  </si>
  <si>
    <t xml:space="preserve">bullet (Deuda!P11)</t>
  </si>
  <si>
    <t xml:space="preserve">pv_ts (Valoracion!C10)</t>
  </si>
  <si>
    <t xml:space="preserve">rev_2012 (Proyeccion!H8)</t>
  </si>
  <si>
    <t xml:space="preserve">ebitda_2012 (Proyeccion!H12)</t>
  </si>
  <si>
    <t xml:space="preserve">fcf_2008 (Proyeccion!D28)</t>
  </si>
  <si>
    <t xml:space="preserve">fcf_2012 (Proyeccion!H28)</t>
  </si>
  <si>
    <t xml:space="preserve">roic_2012 (Proyeccion!H30)</t>
  </si>
  <si>
    <t xml:space="preserve">g (Valoracion!C7)</t>
  </si>
  <si>
    <t xml:space="preserve">tv (Proyeccion!H36)</t>
  </si>
  <si>
    <t xml:space="preserve">pv_fcf (Valoracion!C8)</t>
  </si>
  <si>
    <t xml:space="preserve">v_ops (Valoracion!C11)</t>
  </si>
  <si>
    <t xml:space="preserve">nooper (Valoracion!C20)</t>
  </si>
  <si>
    <t xml:space="preserve">claims (Valoracion!C26)</t>
  </si>
  <si>
    <t xml:space="preserve">equity (Valoracion!C33)</t>
  </si>
  <si>
    <t xml:space="preserve">sin_bh (Valoracion!C36)</t>
  </si>
  <si>
    <t xml:space="preserve">sin_rev (Valoracion!C37)</t>
  </si>
  <si>
    <t xml:space="preserve">eq_sin (Valoracion!C38)</t>
  </si>
  <si>
    <t xml:space="preserve">mult_med (Comparables!P13)</t>
  </si>
  <si>
    <t xml:space="preserve">eq_mult (Valoracion!C46)</t>
  </si>
  <si>
    <t xml:space="preserve">g_impl (Valoracion!C47)</t>
  </si>
  <si>
    <t xml:space="preserve">eq_comb (Escenarios!F186)</t>
  </si>
  <si>
    <t xml:space="preserve">revolver_2012 (Proyeccion!H70)</t>
  </si>
  <si>
    <t xml:space="preserve">eq_wacc (Valoracion!C49)</t>
  </si>
  <si>
    <t xml:space="preserve">dv0_ops (Valoracion!C55)</t>
  </si>
  <si>
    <t xml:space="preserve">Valores de la columna C: calculados con verificacion/verificar.py (implementación independiente en Python).</t>
  </si>
  <si>
    <t xml:space="preserve">Todas coinciden (diferencia máxima en la columna D)</t>
  </si>
  <si>
    <t xml:space="preserve">Tabla de control: cifra del informe → celda del Excel</t>
  </si>
  <si>
    <t xml:space="preserve">Clave</t>
  </si>
  <si>
    <t xml:space="preserve">Descripción</t>
  </si>
  <si>
    <t xml:space="preserve">Celda</t>
  </si>
  <si>
    <t xml:space="preserve">Controles de consistencia</t>
  </si>
  <si>
    <t xml:space="preserve">C001</t>
  </si>
  <si>
    <t xml:space="preserve">Valoracion!C60</t>
  </si>
  <si>
    <t xml:space="preserve">Subtotales del estado de resultados vs. publicados</t>
  </si>
  <si>
    <t xml:space="preserve">C002</t>
  </si>
  <si>
    <t xml:space="preserve">Valoracion!C58</t>
  </si>
  <si>
    <t xml:space="preserve">Balance histórico cuadra</t>
  </si>
  <si>
    <t xml:space="preserve">C003</t>
  </si>
  <si>
    <t xml:space="preserve">Valoracion!C59</t>
  </si>
  <si>
    <t xml:space="preserve">Totales del balance vs. publicados</t>
  </si>
  <si>
    <t xml:space="preserve">C004</t>
  </si>
  <si>
    <t xml:space="preserve">Valoracion!C11</t>
  </si>
  <si>
    <t xml:space="preserve">Flujo histórico concilia con Δ caja</t>
  </si>
  <si>
    <t xml:space="preserve">C005</t>
  </si>
  <si>
    <t xml:space="preserve">Valoracion!C20</t>
  </si>
  <si>
    <t xml:space="preserve">Tabla 3 vs. recalculado</t>
  </si>
  <si>
    <t xml:space="preserve">C006</t>
  </si>
  <si>
    <t xml:space="preserve">Valoracion!C26</t>
  </si>
  <si>
    <t xml:space="preserve">D/V publicado vs. calculado</t>
  </si>
  <si>
    <t xml:space="preserve">C007</t>
  </si>
  <si>
    <t xml:space="preserve">Valoracion!C33</t>
  </si>
  <si>
    <t xml:space="preserve">Costo de clientes nuevos (Anexo 3)</t>
  </si>
  <si>
    <t xml:space="preserve">C008</t>
  </si>
  <si>
    <t xml:space="preserve">Valoracion!C36</t>
  </si>
  <si>
    <t xml:space="preserve">ROE de la Tabla 2</t>
  </si>
  <si>
    <t xml:space="preserve">C009</t>
  </si>
  <si>
    <t xml:space="preserve">Valoracion!C37</t>
  </si>
  <si>
    <t xml:space="preserve">Saldos de deuda vs. Anexo 6</t>
  </si>
  <si>
    <t xml:space="preserve">C010</t>
  </si>
  <si>
    <t xml:space="preserve">Valoracion!C38</t>
  </si>
  <si>
    <t xml:space="preserve">Balance proforma cuadra</t>
  </si>
  <si>
    <t xml:space="preserve">C011</t>
  </si>
  <si>
    <t xml:space="preserve">Valoracion!C51</t>
  </si>
  <si>
    <t xml:space="preserve">Flujo proforma concilia</t>
  </si>
  <si>
    <t xml:space="preserve">C012</t>
  </si>
  <si>
    <t xml:space="preserve">Costo_Capital!C10</t>
  </si>
  <si>
    <t xml:space="preserve">Bloque de valoración = Valoracion</t>
  </si>
  <si>
    <t xml:space="preserve">C013</t>
  </si>
  <si>
    <t xml:space="preserve">Costo_Capital!C16</t>
  </si>
  <si>
    <t xml:space="preserve">Escenario base = Valoracion</t>
  </si>
  <si>
    <t xml:space="preserve">C014</t>
  </si>
  <si>
    <t xml:space="preserve">Valoracion!C7</t>
  </si>
  <si>
    <t xml:space="preserve">Sinergias: total consistente</t>
  </si>
  <si>
    <t xml:space="preserve">C015</t>
  </si>
  <si>
    <t xml:space="preserve">Valoracion!C12</t>
  </si>
  <si>
    <t xml:space="preserve">Todos los controles</t>
  </si>
  <si>
    <t xml:space="preserve">C016</t>
  </si>
  <si>
    <t xml:space="preserve">Mediana [VE/EBITDA]</t>
  </si>
  <si>
    <t xml:space="preserve">Comparables!P13</t>
  </si>
  <si>
    <t xml:space="preserve">C017</t>
  </si>
  <si>
    <t xml:space="preserve">Valoracion!C46</t>
  </si>
  <si>
    <t xml:space="preserve">C018</t>
  </si>
  <si>
    <t xml:space="preserve">Valoracion!C47</t>
  </si>
  <si>
    <t xml:space="preserve">C019</t>
  </si>
  <si>
    <t xml:space="preserve">Valoracion!C66</t>
  </si>
  <si>
    <t xml:space="preserve">C020</t>
  </si>
  <si>
    <t xml:space="preserve">Valoracion!C65</t>
  </si>
  <si>
    <t xml:space="preserve">C021</t>
  </si>
  <si>
    <t xml:space="preserve">Sensibilidad!I21</t>
  </si>
  <si>
    <t xml:space="preserve">C022</t>
  </si>
  <si>
    <t xml:space="preserve">Deuda!C5</t>
  </si>
  <si>
    <t xml:space="preserve">C023</t>
  </si>
  <si>
    <t xml:space="preserve">Valoracion!C55</t>
  </si>
  <si>
    <t xml:space="preserve">C024</t>
  </si>
  <si>
    <t xml:space="preserve">Deuda / valor máximo admitido [Valor]</t>
  </si>
  <si>
    <t xml:space="preserve">Supuestos!C12</t>
  </si>
  <si>
    <t xml:space="preserve">C025</t>
  </si>
  <si>
    <t xml:space="preserve">Valoracion!C56</t>
  </si>
  <si>
    <t xml:space="preserve">C026</t>
  </si>
  <si>
    <t xml:space="preserve">Línea de crédito (variable de cierre) [2012]</t>
  </si>
  <si>
    <t xml:space="preserve">Proyeccion!H70</t>
  </si>
  <si>
    <t xml:space="preserve">C027</t>
  </si>
  <si>
    <t xml:space="preserve">Costo de la deuda (Kd), BBB+ [Valor]</t>
  </si>
  <si>
    <t xml:space="preserve">Supuestos!C7</t>
  </si>
  <si>
    <t xml:space="preserve">C028</t>
  </si>
  <si>
    <t xml:space="preserve">Diferencial sobre el bono del Tesoro a 10 años [Valor]</t>
  </si>
  <si>
    <t xml:space="preserve">Supuestos!C8</t>
  </si>
  <si>
    <t xml:space="preserve">C029</t>
  </si>
  <si>
    <t xml:space="preserve">Prima de riesgo de mercado (PRM) [Valor]</t>
  </si>
  <si>
    <t xml:space="preserve">Supuestos!C10</t>
  </si>
  <si>
    <t xml:space="preserve">C030</t>
  </si>
  <si>
    <t xml:space="preserve">Cobertura EBITDA / intereses para dimensionar la deuda [Valor]</t>
  </si>
  <si>
    <t xml:space="preserve">Supuestos!C11</t>
  </si>
  <si>
    <t xml:space="preserve">C031</t>
  </si>
  <si>
    <t xml:space="preserve">Múltiplo P/U histórico de la industria [Valor]</t>
  </si>
  <si>
    <t xml:space="preserve">Supuestos!C15</t>
  </si>
  <si>
    <t xml:space="preserve">C032</t>
  </si>
  <si>
    <t xml:space="preserve">Costo de salir a bolsa (% del patrimonio), tope razonable del descuento [Valor]</t>
  </si>
  <si>
    <t xml:space="preserve">Supuestos!C16</t>
  </si>
  <si>
    <t xml:space="preserve">C033</t>
  </si>
  <si>
    <t xml:space="preserve">Descuento por iliquidez, regla práctica (20%-30%), punto medio [Valor]</t>
  </si>
  <si>
    <t xml:space="preserve">Supuestos!C18</t>
  </si>
  <si>
    <t xml:space="preserve">C034</t>
  </si>
  <si>
    <t xml:space="preserve">Descuento por iliquidez, investigación académica [Valor]</t>
  </si>
  <si>
    <t xml:space="preserve">Supuestos!C19</t>
  </si>
  <si>
    <t xml:space="preserve">C035</t>
  </si>
  <si>
    <t xml:space="preserve">Diferencia máxima de todos los subtotales del estado de resultados [Diferencia máx.]</t>
  </si>
  <si>
    <t xml:space="preserve">Historicos!G31</t>
  </si>
  <si>
    <t xml:space="preserve">C036</t>
  </si>
  <si>
    <t xml:space="preserve">Control: activos − pasivos y patrimonio [Diferencia máx.]</t>
  </si>
  <si>
    <t xml:space="preserve">Historicos!G79</t>
  </si>
  <si>
    <t xml:space="preserve">C037</t>
  </si>
  <si>
    <t xml:space="preserve">Diferencia máxima de los totales del balance [Diferencia máx.]</t>
  </si>
  <si>
    <t xml:space="preserve">Historicos!G87</t>
  </si>
  <si>
    <t xml:space="preserve">C038</t>
  </si>
  <si>
    <t xml:space="preserve">Control: diferencia Tabla 3 vs. recalculado [Valor empresa (VE)]</t>
  </si>
  <si>
    <t xml:space="preserve">Comparables!O15</t>
  </si>
  <si>
    <t xml:space="preserve">C039</t>
  </si>
  <si>
    <t xml:space="preserve">ROE (utilidad neta / patrimonio al cierre) [2007]</t>
  </si>
  <si>
    <t xml:space="preserve">Historicos!E110</t>
  </si>
  <si>
    <t xml:space="preserve">C040</t>
  </si>
  <si>
    <t xml:space="preserve">Deuda!Q15</t>
  </si>
  <si>
    <t xml:space="preserve">C041</t>
  </si>
  <si>
    <t xml:space="preserve">Días de cartera (sobre ingresos totales) [Valor]</t>
  </si>
  <si>
    <t xml:space="preserve">Supuestos!C46</t>
  </si>
  <si>
    <t xml:space="preserve">C042</t>
  </si>
  <si>
    <t xml:space="preserve">Días de inventario (sobre ingresos por equipos) [Valor]</t>
  </si>
  <si>
    <t xml:space="preserve">Supuestos!C47</t>
  </si>
  <si>
    <t xml:space="preserve">C043</t>
  </si>
  <si>
    <t xml:space="preserve">Ingresos por equipos / ingresos por servicios [Valor]</t>
  </si>
  <si>
    <t xml:space="preserve">Supuestos!C45</t>
  </si>
  <si>
    <t xml:space="preserve">C044</t>
  </si>
  <si>
    <t xml:space="preserve">Diferencia = dividendos u otros cargos implícitos [2006]</t>
  </si>
  <si>
    <t xml:space="preserve">Historicos!D93</t>
  </si>
  <si>
    <t xml:space="preserve">C045</t>
  </si>
  <si>
    <t xml:space="preserve">Diferencia = dividendos u otros cargos implícitos [2007]</t>
  </si>
  <si>
    <t xml:space="preserve">Historicos!E93</t>
  </si>
  <si>
    <t xml:space="preserve">C046</t>
  </si>
  <si>
    <t xml:space="preserve">Variación de utilidades retenidas publicadas − utilidad neta [2006]</t>
  </si>
  <si>
    <t xml:space="preserve">Historicos!D94</t>
  </si>
  <si>
    <t xml:space="preserve">C047</t>
  </si>
  <si>
    <t xml:space="preserve">Variación de utilidades retenidas publicadas − utilidad neta [2007]</t>
  </si>
  <si>
    <t xml:space="preserve">Historicos!E94</t>
  </si>
  <si>
    <t xml:space="preserve">C048</t>
  </si>
  <si>
    <t xml:space="preserve">Días de ingresos diferidos (sobre ingresos por servicios) [Valor]</t>
  </si>
  <si>
    <t xml:space="preserve">Supuestos!C50</t>
  </si>
  <si>
    <t xml:space="preserve">C049</t>
  </si>
  <si>
    <t xml:space="preserve">Gastos prepagados / costos operativos en efectivo [Valor]</t>
  </si>
  <si>
    <t xml:space="preserve">Supuestos!C48</t>
  </si>
  <si>
    <t xml:space="preserve">C050</t>
  </si>
  <si>
    <t xml:space="preserve">Activos operativos netos implícitos en la Tabla 2 (ingresos / rotación) [2007]</t>
  </si>
  <si>
    <t xml:space="preserve">Historicos!E150</t>
  </si>
  <si>
    <t xml:space="preserve">C051</t>
  </si>
  <si>
    <t xml:space="preserve">Activo fijo neto (PP&amp;E + licencias + listas de clientes) [2007]</t>
  </si>
  <si>
    <t xml:space="preserve">Historicos!E96</t>
  </si>
  <si>
    <t xml:space="preserve">C052</t>
  </si>
  <si>
    <t xml:space="preserve">Promedio [D/P publicado]</t>
  </si>
  <si>
    <t xml:space="preserve">Comparables!E11</t>
  </si>
  <si>
    <t xml:space="preserve">C053</t>
  </si>
  <si>
    <t xml:space="preserve">Promedio [D/V publicado]</t>
  </si>
  <si>
    <t xml:space="preserve">Comparables!D11</t>
  </si>
  <si>
    <t xml:space="preserve">C054</t>
  </si>
  <si>
    <t xml:space="preserve">Inconsistencia: D/P promedio publicado vs. D/P implícito en el D/V promedio [D/V publicado]</t>
  </si>
  <si>
    <t xml:space="preserve">Comparables!D17</t>
  </si>
  <si>
    <t xml:space="preserve">C055</t>
  </si>
  <si>
    <t xml:space="preserve">Agile Connections [VE/EBITDA]</t>
  </si>
  <si>
    <t xml:space="preserve">Comparables!P7</t>
  </si>
  <si>
    <t xml:space="preserve">C056</t>
  </si>
  <si>
    <t xml:space="preserve">Neuberger Wireless [VE/EBITDA]</t>
  </si>
  <si>
    <t xml:space="preserve">Comparables!P6</t>
  </si>
  <si>
    <t xml:space="preserve">C057</t>
  </si>
  <si>
    <t xml:space="preserve">EBIT (utilidad operativa) [2007]</t>
  </si>
  <si>
    <t xml:space="preserve">Historicos!E13</t>
  </si>
  <si>
    <t xml:space="preserve">C058</t>
  </si>
  <si>
    <t xml:space="preserve">Capex implícito = Δ activo fijo neto + D&amp;A [2006]</t>
  </si>
  <si>
    <t xml:space="preserve">Historicos!D97</t>
  </si>
  <si>
    <t xml:space="preserve">C059</t>
  </si>
  <si>
    <t xml:space="preserve">Capex implícito = Δ activo fijo neto + D&amp;A [2007]</t>
  </si>
  <si>
    <t xml:space="preserve">Historicos!E97</t>
  </si>
  <si>
    <t xml:space="preserve">C060</t>
  </si>
  <si>
    <t xml:space="preserve">Descuento por iliquidez, Anexo 8 (empresa rentable, ingresos US$1.000 MM) [Valor]</t>
  </si>
  <si>
    <t xml:space="preserve">Supuestos!C17</t>
  </si>
  <si>
    <t xml:space="preserve">C061</t>
  </si>
  <si>
    <t xml:space="preserve">Ingresos totales [2007]</t>
  </si>
  <si>
    <t xml:space="preserve">Historicos!E7</t>
  </si>
  <si>
    <t xml:space="preserve">C062</t>
  </si>
  <si>
    <t xml:space="preserve">Crecimiento de ingresos totales [2006]</t>
  </si>
  <si>
    <t xml:space="preserve">Historicos!D102</t>
  </si>
  <si>
    <t xml:space="preserve">C063</t>
  </si>
  <si>
    <t xml:space="preserve">Crecimiento de ingresos totales [2007]</t>
  </si>
  <si>
    <t xml:space="preserve">Historicos!E102</t>
  </si>
  <si>
    <t xml:space="preserve">C064</t>
  </si>
  <si>
    <t xml:space="preserve">Variación de los minutos por cliente [2007]</t>
  </si>
  <si>
    <t xml:space="preserve">Historicos!E143</t>
  </si>
  <si>
    <t xml:space="preserve">C065</t>
  </si>
  <si>
    <t xml:space="preserve">Margen EBITDA [2005]</t>
  </si>
  <si>
    <t xml:space="preserve">Historicos!C104</t>
  </si>
  <si>
    <t xml:space="preserve">C066</t>
  </si>
  <si>
    <t xml:space="preserve">Margen EBITDA [2006]</t>
  </si>
  <si>
    <t xml:space="preserve">Historicos!D104</t>
  </si>
  <si>
    <t xml:space="preserve">C067</t>
  </si>
  <si>
    <t xml:space="preserve">Margen EBITDA [2007]</t>
  </si>
  <si>
    <t xml:space="preserve">Historicos!E104</t>
  </si>
  <si>
    <t xml:space="preserve">C068</t>
  </si>
  <si>
    <t xml:space="preserve">Margen EBITDA [Comparables]</t>
  </si>
  <si>
    <t xml:space="preserve">Historicos!G104</t>
  </si>
  <si>
    <t xml:space="preserve">C069</t>
  </si>
  <si>
    <t xml:space="preserve">Margen EBIT [2005]</t>
  </si>
  <si>
    <t xml:space="preserve">Historicos!C105</t>
  </si>
  <si>
    <t xml:space="preserve">C070</t>
  </si>
  <si>
    <t xml:space="preserve">Margen EBIT [2006]</t>
  </si>
  <si>
    <t xml:space="preserve">Historicos!D105</t>
  </si>
  <si>
    <t xml:space="preserve">C071</t>
  </si>
  <si>
    <t xml:space="preserve">Margen EBIT [2007]</t>
  </si>
  <si>
    <t xml:space="preserve">Historicos!E105</t>
  </si>
  <si>
    <t xml:space="preserve">C072</t>
  </si>
  <si>
    <t xml:space="preserve">Margen EBIT [Comparables]</t>
  </si>
  <si>
    <t xml:space="preserve">Historicos!G105</t>
  </si>
  <si>
    <t xml:space="preserve">C073</t>
  </si>
  <si>
    <t xml:space="preserve">D&amp;A / ingresos totales [2007]</t>
  </si>
  <si>
    <t xml:space="preserve">Historicos!E130</t>
  </si>
  <si>
    <t xml:space="preserve">C074</t>
  </si>
  <si>
    <t xml:space="preserve">Margen neto [2005]</t>
  </si>
  <si>
    <t xml:space="preserve">Historicos!C106</t>
  </si>
  <si>
    <t xml:space="preserve">C075</t>
  </si>
  <si>
    <t xml:space="preserve">Margen neto [2006]</t>
  </si>
  <si>
    <t xml:space="preserve">Historicos!D106</t>
  </si>
  <si>
    <t xml:space="preserve">C076</t>
  </si>
  <si>
    <t xml:space="preserve">Margen neto [2007]</t>
  </si>
  <si>
    <t xml:space="preserve">Historicos!E106</t>
  </si>
  <si>
    <t xml:space="preserve">C077</t>
  </si>
  <si>
    <t xml:space="preserve">Margen neto [Comparables]</t>
  </si>
  <si>
    <t xml:space="preserve">Historicos!G106</t>
  </si>
  <si>
    <t xml:space="preserve">C078</t>
  </si>
  <si>
    <t xml:space="preserve">ROA (utilidad neta / activos totales) [2005]</t>
  </si>
  <si>
    <t xml:space="preserve">Historicos!C109</t>
  </si>
  <si>
    <t xml:space="preserve">C079</t>
  </si>
  <si>
    <t xml:space="preserve">ROA (utilidad neta / activos totales) [2006]</t>
  </si>
  <si>
    <t xml:space="preserve">Historicos!D109</t>
  </si>
  <si>
    <t xml:space="preserve">C080</t>
  </si>
  <si>
    <t xml:space="preserve">ROA (utilidad neta / activos totales) [2007]</t>
  </si>
  <si>
    <t xml:space="preserve">Historicos!E109</t>
  </si>
  <si>
    <t xml:space="preserve">C081</t>
  </si>
  <si>
    <t xml:space="preserve">ROE (utilidad neta / patrimonio al cierre) [2005]</t>
  </si>
  <si>
    <t xml:space="preserve">Historicos!C110</t>
  </si>
  <si>
    <t xml:space="preserve">C082</t>
  </si>
  <si>
    <t xml:space="preserve">ROE (utilidad neta / patrimonio al cierre) [2006]</t>
  </si>
  <si>
    <t xml:space="preserve">Historicos!D110</t>
  </si>
  <si>
    <t xml:space="preserve">C083</t>
  </si>
  <si>
    <t xml:space="preserve">Costo_Capital!C15</t>
  </si>
  <si>
    <t xml:space="preserve">C084</t>
  </si>
  <si>
    <t xml:space="preserve">ROIC (EBIT × (1 − t) / (patrimonio + deuda), definición de la nota 7) [2005]</t>
  </si>
  <si>
    <t xml:space="preserve">Historicos!C111</t>
  </si>
  <si>
    <t xml:space="preserve">C085</t>
  </si>
  <si>
    <t xml:space="preserve">ROIC (EBIT × (1 − t) / (patrimonio + deuda), definición de la nota 7) [2006]</t>
  </si>
  <si>
    <t xml:space="preserve">Historicos!D111</t>
  </si>
  <si>
    <t xml:space="preserve">C086</t>
  </si>
  <si>
    <t xml:space="preserve">ROIC (EBIT × (1 − t) / (patrimonio + deuda), definición de la nota 7) [2007]</t>
  </si>
  <si>
    <t xml:space="preserve">Historicos!E111</t>
  </si>
  <si>
    <t xml:space="preserve">C087</t>
  </si>
  <si>
    <t xml:space="preserve">Días de cartera (sobre ingresos totales, 360 días) [2005]</t>
  </si>
  <si>
    <t xml:space="preserve">Historicos!C112</t>
  </si>
  <si>
    <t xml:space="preserve">C088</t>
  </si>
  <si>
    <t xml:space="preserve">Días de cartera (sobre ingresos totales, 360 días) [2006]</t>
  </si>
  <si>
    <t xml:space="preserve">Historicos!D112</t>
  </si>
  <si>
    <t xml:space="preserve">C089</t>
  </si>
  <si>
    <t xml:space="preserve">Días de cartera (sobre ingresos totales, 360 días) [2007]</t>
  </si>
  <si>
    <t xml:space="preserve">Historicos!E112</t>
  </si>
  <si>
    <t xml:space="preserve">C090</t>
  </si>
  <si>
    <t xml:space="preserve">Días de inventario (sobre costo de equipos) [2005]</t>
  </si>
  <si>
    <t xml:space="preserve">Historicos!C114</t>
  </si>
  <si>
    <t xml:space="preserve">C091</t>
  </si>
  <si>
    <t xml:space="preserve">Días de inventario (sobre costo de equipos) [2006]</t>
  </si>
  <si>
    <t xml:space="preserve">Historicos!D114</t>
  </si>
  <si>
    <t xml:space="preserve">C092</t>
  </si>
  <si>
    <t xml:space="preserve">Días de inventario (sobre costo de equipos) [2007]</t>
  </si>
  <si>
    <t xml:space="preserve">Historicos!E114</t>
  </si>
  <si>
    <t xml:space="preserve">C093</t>
  </si>
  <si>
    <t xml:space="preserve">Días de proveedores (sobre costos operativos en efectivo) [2005]</t>
  </si>
  <si>
    <t xml:space="preserve">Historicos!C117</t>
  </si>
  <si>
    <t xml:space="preserve">C094</t>
  </si>
  <si>
    <t xml:space="preserve">Días de proveedores (sobre costos operativos en efectivo) [2006]</t>
  </si>
  <si>
    <t xml:space="preserve">Historicos!D117</t>
  </si>
  <si>
    <t xml:space="preserve">C095</t>
  </si>
  <si>
    <t xml:space="preserve">Días de proveedores (sobre costos operativos en efectivo) [2007]</t>
  </si>
  <si>
    <t xml:space="preserve">Historicos!E117</t>
  </si>
  <si>
    <t xml:space="preserve">C096</t>
  </si>
  <si>
    <t xml:space="preserve">Ciclo de caja = cartera + inventario (costo) − proveedores [2005]</t>
  </si>
  <si>
    <t xml:space="preserve">Historicos!C120</t>
  </si>
  <si>
    <t xml:space="preserve">C097</t>
  </si>
  <si>
    <t xml:space="preserve">Ciclo de caja = cartera + inventario (costo) − proveedores [2006]</t>
  </si>
  <si>
    <t xml:space="preserve">Historicos!D120</t>
  </si>
  <si>
    <t xml:space="preserve">C098</t>
  </si>
  <si>
    <t xml:space="preserve">Ciclo de caja = cartera + inventario (costo) − proveedores [2007]</t>
  </si>
  <si>
    <t xml:space="preserve">Historicos!E120</t>
  </si>
  <si>
    <t xml:space="preserve">C099</t>
  </si>
  <si>
    <t xml:space="preserve">Capital de trabajo operativo neto (CxC + inventario + prepagados − CxP − diferidos − acumulados) [2007]</t>
  </si>
  <si>
    <t xml:space="preserve">Historicos!E192</t>
  </si>
  <si>
    <t xml:space="preserve">C100</t>
  </si>
  <si>
    <t xml:space="preserve">Rotación de activos (ingresos / activos totales) [2005]</t>
  </si>
  <si>
    <t xml:space="preserve">Historicos!C122</t>
  </si>
  <si>
    <t xml:space="preserve">C101</t>
  </si>
  <si>
    <t xml:space="preserve">Rotación de activos (ingresos / activos totales) [2006]</t>
  </si>
  <si>
    <t xml:space="preserve">Historicos!D122</t>
  </si>
  <si>
    <t xml:space="preserve">C102</t>
  </si>
  <si>
    <t xml:space="preserve">Rotación de activos (ingresos / activos totales) [2007]</t>
  </si>
  <si>
    <t xml:space="preserve">Historicos!E122</t>
  </si>
  <si>
    <t xml:space="preserve">C103</t>
  </si>
  <si>
    <t xml:space="preserve">Razón corriente [2005]</t>
  </si>
  <si>
    <t xml:space="preserve">Historicos!C123</t>
  </si>
  <si>
    <t xml:space="preserve">C104</t>
  </si>
  <si>
    <t xml:space="preserve">Razón corriente [2006]</t>
  </si>
  <si>
    <t xml:space="preserve">Historicos!D123</t>
  </si>
  <si>
    <t xml:space="preserve">C105</t>
  </si>
  <si>
    <t xml:space="preserve">Razón corriente [2007]</t>
  </si>
  <si>
    <t xml:space="preserve">Historicos!E123</t>
  </si>
  <si>
    <t xml:space="preserve">C106</t>
  </si>
  <si>
    <t xml:space="preserve">Deuda financiera / patrimonio contable [2005]</t>
  </si>
  <si>
    <t xml:space="preserve">Historicos!C125</t>
  </si>
  <si>
    <t xml:space="preserve">C107</t>
  </si>
  <si>
    <t xml:space="preserve">Deuda financiera / patrimonio contable [2006]</t>
  </si>
  <si>
    <t xml:space="preserve">Historicos!D125</t>
  </si>
  <si>
    <t xml:space="preserve">C108</t>
  </si>
  <si>
    <t xml:space="preserve">Deuda financiera / patrimonio contable [2007]</t>
  </si>
  <si>
    <t xml:space="preserve">Historicos!E125</t>
  </si>
  <si>
    <t xml:space="preserve">C109</t>
  </si>
  <si>
    <t xml:space="preserve">Deuda financiera / patrimonio contable [Comparables]</t>
  </si>
  <si>
    <t xml:space="preserve">Historicos!G125</t>
  </si>
  <si>
    <t xml:space="preserve">C110</t>
  </si>
  <si>
    <t xml:space="preserve">Deuda financiera / EBITDA [2005]</t>
  </si>
  <si>
    <t xml:space="preserve">Historicos!C126</t>
  </si>
  <si>
    <t xml:space="preserve">C111</t>
  </si>
  <si>
    <t xml:space="preserve">Deuda financiera / EBITDA [2006]</t>
  </si>
  <si>
    <t xml:space="preserve">Historicos!D126</t>
  </si>
  <si>
    <t xml:space="preserve">C112</t>
  </si>
  <si>
    <t xml:space="preserve">Deuda financiera / EBITDA [2007]</t>
  </si>
  <si>
    <t xml:space="preserve">Historicos!E126</t>
  </si>
  <si>
    <t xml:space="preserve">C113</t>
  </si>
  <si>
    <t xml:space="preserve">EBITDA / intereses [2005]</t>
  </si>
  <si>
    <t xml:space="preserve">Historicos!C127</t>
  </si>
  <si>
    <t xml:space="preserve">C114</t>
  </si>
  <si>
    <t xml:space="preserve">EBITDA / intereses [2006]</t>
  </si>
  <si>
    <t xml:space="preserve">Historicos!D127</t>
  </si>
  <si>
    <t xml:space="preserve">C115</t>
  </si>
  <si>
    <t xml:space="preserve">EBITDA / intereses [2007]</t>
  </si>
  <si>
    <t xml:space="preserve">Historicos!E127</t>
  </si>
  <si>
    <t xml:space="preserve">C116</t>
  </si>
  <si>
    <t xml:space="preserve">(Caja + valores negociables) / ingresos totales [2005]</t>
  </si>
  <si>
    <t xml:space="preserve">Historicos!C128</t>
  </si>
  <si>
    <t xml:space="preserve">C117</t>
  </si>
  <si>
    <t xml:space="preserve">(Caja + valores negociables) / ingresos totales [2006]</t>
  </si>
  <si>
    <t xml:space="preserve">Historicos!D128</t>
  </si>
  <si>
    <t xml:space="preserve">C118</t>
  </si>
  <si>
    <t xml:space="preserve">(Caja + valores negociables) / ingresos totales [2007]</t>
  </si>
  <si>
    <t xml:space="preserve">Historicos!E128</t>
  </si>
  <si>
    <t xml:space="preserve">C119</t>
  </si>
  <si>
    <t xml:space="preserve">Ingreso por minuto (US$) [2005]</t>
  </si>
  <si>
    <t xml:space="preserve">Historicos!C140</t>
  </si>
  <si>
    <t xml:space="preserve">C120</t>
  </si>
  <si>
    <t xml:space="preserve">Ingreso por minuto (US$) [2006]</t>
  </si>
  <si>
    <t xml:space="preserve">Historicos!D140</t>
  </si>
  <si>
    <t xml:space="preserve">C121</t>
  </si>
  <si>
    <t xml:space="preserve">Ingreso por minuto (US$) [2007]</t>
  </si>
  <si>
    <t xml:space="preserve">Historicos!E140</t>
  </si>
  <si>
    <t xml:space="preserve">C122</t>
  </si>
  <si>
    <t xml:space="preserve">Variación del ingreso por minuto [2007]</t>
  </si>
  <si>
    <t xml:space="preserve">Historicos!E141</t>
  </si>
  <si>
    <t xml:space="preserve">C123</t>
  </si>
  <si>
    <t xml:space="preserve">Costo por cliente nuevo (US$) [2005]</t>
  </si>
  <si>
    <t xml:space="preserve">Historicos!C135</t>
  </si>
  <si>
    <t xml:space="preserve">C124</t>
  </si>
  <si>
    <t xml:space="preserve">Costo por cliente nuevo (US$) [2006]</t>
  </si>
  <si>
    <t xml:space="preserve">Historicos!D135</t>
  </si>
  <si>
    <t xml:space="preserve">C125</t>
  </si>
  <si>
    <t xml:space="preserve">Costo por cliente nuevo (US$) [2007]</t>
  </si>
  <si>
    <t xml:space="preserve">Historicos!E135</t>
  </si>
  <si>
    <t xml:space="preserve">C126</t>
  </si>
  <si>
    <t xml:space="preserve">Variación del costo por cliente nuevo [2007]</t>
  </si>
  <si>
    <t xml:space="preserve">Historicos!E142</t>
  </si>
  <si>
    <t xml:space="preserve">C127</t>
  </si>
  <si>
    <t xml:space="preserve">Tasa mensual de abandono (churn) [2005]</t>
  </si>
  <si>
    <t xml:space="preserve">Historicos!C138</t>
  </si>
  <si>
    <t xml:space="preserve">C128</t>
  </si>
  <si>
    <t xml:space="preserve">Tasa mensual de abandono (churn) [2006]</t>
  </si>
  <si>
    <t xml:space="preserve">Historicos!D138</t>
  </si>
  <si>
    <t xml:space="preserve">C129</t>
  </si>
  <si>
    <t xml:space="preserve">Tasa mensual de abandono (churn) [2007]</t>
  </si>
  <si>
    <t xml:space="preserve">Historicos!E138</t>
  </si>
  <si>
    <t xml:space="preserve">C130</t>
  </si>
  <si>
    <t xml:space="preserve">Utilidad neta [2006]</t>
  </si>
  <si>
    <t xml:space="preserve">Historicos!D170</t>
  </si>
  <si>
    <t xml:space="preserve">C131</t>
  </si>
  <si>
    <t xml:space="preserve">Utilidad neta [2007]</t>
  </si>
  <si>
    <t xml:space="preserve">Historicos!E170</t>
  </si>
  <si>
    <t xml:space="preserve">C132</t>
  </si>
  <si>
    <t xml:space="preserve">+ Depreciación y amortización [2006]</t>
  </si>
  <si>
    <t xml:space="preserve">Historicos!D171</t>
  </si>
  <si>
    <t xml:space="preserve">C133</t>
  </si>
  <si>
    <t xml:space="preserve">+ Depreciación y amortización [2007]</t>
  </si>
  <si>
    <t xml:space="preserve">Historicos!E171</t>
  </si>
  <si>
    <t xml:space="preserve">C134</t>
  </si>
  <si>
    <t xml:space="preserve">Flujo de caja operativo [2006]</t>
  </si>
  <si>
    <t xml:space="preserve">Historicos!D176</t>
  </si>
  <si>
    <t xml:space="preserve">C135</t>
  </si>
  <si>
    <t xml:space="preserve">Flujo de caja operativo [2007]</t>
  </si>
  <si>
    <t xml:space="preserve">Historicos!E176</t>
  </si>
  <si>
    <t xml:space="preserve">C136</t>
  </si>
  <si>
    <t xml:space="preserve">Flujo de caja de inversión [2006]</t>
  </si>
  <si>
    <t xml:space="preserve">Historicos!D181</t>
  </si>
  <si>
    <t xml:space="preserve">C137</t>
  </si>
  <si>
    <t xml:space="preserve">Flujo de caja de inversión [2007]</t>
  </si>
  <si>
    <t xml:space="preserve">Historicos!E181</t>
  </si>
  <si>
    <t xml:space="preserve">C138</t>
  </si>
  <si>
    <t xml:space="preserve">Flujo de caja de financiación [2006]</t>
  </si>
  <si>
    <t xml:space="preserve">Historicos!D187</t>
  </si>
  <si>
    <t xml:space="preserve">C139</t>
  </si>
  <si>
    <t xml:space="preserve">Flujo de caja de financiación [2007]</t>
  </si>
  <si>
    <t xml:space="preserve">Historicos!E187</t>
  </si>
  <si>
    <t xml:space="preserve">C140</t>
  </si>
  <si>
    <t xml:space="preserve">Variación de caja según flujo [2006]</t>
  </si>
  <si>
    <t xml:space="preserve">Historicos!D188</t>
  </si>
  <si>
    <t xml:space="preserve">C141</t>
  </si>
  <si>
    <t xml:space="preserve">Variación de caja según flujo [2007]</t>
  </si>
  <si>
    <t xml:space="preserve">Historicos!E188</t>
  </si>
  <si>
    <t xml:space="preserve">C142</t>
  </si>
  <si>
    <t xml:space="preserve">Flujo de caja libre operativo = EBIT×(1−t) + D&amp;A − capex − Δ capital de trabajo operativo [2006]</t>
  </si>
  <si>
    <t xml:space="preserve">Historicos!D191</t>
  </si>
  <si>
    <t xml:space="preserve">C143</t>
  </si>
  <si>
    <t xml:space="preserve">Flujo de caja libre operativo = EBIT×(1−t) + D&amp;A − capex − Δ capital de trabajo operativo [2007]</t>
  </si>
  <si>
    <t xml:space="preserve">Historicos!E191</t>
  </si>
  <si>
    <t xml:space="preserve">C144</t>
  </si>
  <si>
    <t xml:space="preserve">Capex implícito / ingresos totales [2007]</t>
  </si>
  <si>
    <t xml:space="preserve">Historicos!E98</t>
  </si>
  <si>
    <t xml:space="preserve">C145</t>
  </si>
  <si>
    <t xml:space="preserve">− Compra neta de valores negociables y títulos de renta variable [2007]</t>
  </si>
  <si>
    <t xml:space="preserve">Historicos!E179</t>
  </si>
  <si>
    <t xml:space="preserve">C146</t>
  </si>
  <si>
    <t xml:space="preserve">Costo_Capital!C4</t>
  </si>
  <si>
    <t xml:space="preserve">C147</t>
  </si>
  <si>
    <t xml:space="preserve">PRM 4% (supuesto propio, sensibilidad) [Valor]</t>
  </si>
  <si>
    <t xml:space="preserve">Costo_Capital!C27</t>
  </si>
  <si>
    <t xml:space="preserve">C148</t>
  </si>
  <si>
    <t xml:space="preserve">PRM 6% (supuesto propio, sensibilidad) [Valor]</t>
  </si>
  <si>
    <t xml:space="preserve">Costo_Capital!C28</t>
  </si>
  <si>
    <t xml:space="preserve">C149</t>
  </si>
  <si>
    <t xml:space="preserve">PRM 4% (supuesto propio, sensibilidad) [Patrimonio]</t>
  </si>
  <si>
    <t xml:space="preserve">Costo_Capital!F27</t>
  </si>
  <si>
    <t xml:space="preserve">C150</t>
  </si>
  <si>
    <t xml:space="preserve">Beta: 3 Harris-Pringle, βd = 0,25 (elegida) [Patrimonio]</t>
  </si>
  <si>
    <t xml:space="preserve">Costo_Capital!F26</t>
  </si>
  <si>
    <t xml:space="preserve">C151</t>
  </si>
  <si>
    <t xml:space="preserve">PRM 6% (supuesto propio, sensibilidad) [Patrimonio]</t>
  </si>
  <si>
    <t xml:space="preserve">Costo_Capital!F28</t>
  </si>
  <si>
    <t xml:space="preserve">C152</t>
  </si>
  <si>
    <t xml:space="preserve">Beta: 1 Hamada, βd = 0 [Valor]</t>
  </si>
  <si>
    <t xml:space="preserve">Costo_Capital!C24</t>
  </si>
  <si>
    <t xml:space="preserve">C153</t>
  </si>
  <si>
    <t xml:space="preserve">Beta: 2 Harris-Pringle, βd = 0 [Valor]</t>
  </si>
  <si>
    <t xml:space="preserve">Costo_Capital!C25</t>
  </si>
  <si>
    <t xml:space="preserve">C154</t>
  </si>
  <si>
    <t xml:space="preserve">Costo_Capital!C7</t>
  </si>
  <si>
    <t xml:space="preserve">C155</t>
  </si>
  <si>
    <t xml:space="preserve">Beta: 3 Harris-Pringle, βd = 0,25 (elegida) [Valor]</t>
  </si>
  <si>
    <t xml:space="preserve">Costo_Capital!C26</t>
  </si>
  <si>
    <t xml:space="preserve">C156</t>
  </si>
  <si>
    <t xml:space="preserve">Beta: 1 Hamada, βd = 0 [Patrimonio]</t>
  </si>
  <si>
    <t xml:space="preserve">Costo_Capital!F24</t>
  </si>
  <si>
    <t xml:space="preserve">C157</t>
  </si>
  <si>
    <t xml:space="preserve">Beta: 2 Harris-Pringle, βd = 0 [Patrimonio]</t>
  </si>
  <si>
    <t xml:space="preserve">Costo_Capital!F25</t>
  </si>
  <si>
    <t xml:space="preserve">C158</t>
  </si>
  <si>
    <t xml:space="preserve">D/V objetivo: promedio comparables (elegida) [Valor]</t>
  </si>
  <si>
    <t xml:space="preserve">Costo_Capital!C29</t>
  </si>
  <si>
    <t xml:space="preserve">C159</t>
  </si>
  <si>
    <t xml:space="preserve">D/V objetivo: mediana comparables [Valor]</t>
  </si>
  <si>
    <t xml:space="preserve">Costo_Capital!C30</t>
  </si>
  <si>
    <t xml:space="preserve">C160</t>
  </si>
  <si>
    <t xml:space="preserve">D/V objetivo: 50% (máximo de R&amp;R) a perpetuidad [Valor]</t>
  </si>
  <si>
    <t xml:space="preserve">Costo_Capital!C31</t>
  </si>
  <si>
    <t xml:space="preserve">C161</t>
  </si>
  <si>
    <t xml:space="preserve">D/V objetivo: promedio comparables (elegida) [Patrimonio]</t>
  </si>
  <si>
    <t xml:space="preserve">Costo_Capital!F29</t>
  </si>
  <si>
    <t xml:space="preserve">C162</t>
  </si>
  <si>
    <t xml:space="preserve">D/V objetivo: mediana comparables [Patrimonio]</t>
  </si>
  <si>
    <t xml:space="preserve">Costo_Capital!F30</t>
  </si>
  <si>
    <t xml:space="preserve">C163</t>
  </si>
  <si>
    <t xml:space="preserve">D/V objetivo: 50% (máximo de R&amp;R) a perpetuidad [Patrimonio]</t>
  </si>
  <si>
    <t xml:space="preserve">Costo_Capital!F31</t>
  </si>
  <si>
    <t xml:space="preserve">C164</t>
  </si>
  <si>
    <t xml:space="preserve">Costo_Capital!C6</t>
  </si>
  <si>
    <t xml:space="preserve">C165</t>
  </si>
  <si>
    <t xml:space="preserve">Costo_Capital!C8</t>
  </si>
  <si>
    <t xml:space="preserve">C166</t>
  </si>
  <si>
    <t xml:space="preserve">Tasa efectiva de impuestos [2007]</t>
  </si>
  <si>
    <t xml:space="preserve">Historicos!E131</t>
  </si>
  <si>
    <t xml:space="preserve">C167</t>
  </si>
  <si>
    <t xml:space="preserve">Primas por tamaño, regulación o país [Patrimonio]</t>
  </si>
  <si>
    <t xml:space="preserve">Costo_Capital!F32</t>
  </si>
  <si>
    <t xml:space="preserve">C168</t>
  </si>
  <si>
    <t xml:space="preserve">Afiliadas y minoritario: libros vs. P/U [Bajo]</t>
  </si>
  <si>
    <t xml:space="preserve">Sensibilidad!B30</t>
  </si>
  <si>
    <t xml:space="preserve">C169</t>
  </si>
  <si>
    <t xml:space="preserve">Descuento [Ninguno (base)]</t>
  </si>
  <si>
    <t xml:space="preserve">Sensibilidad!B20</t>
  </si>
  <si>
    <t xml:space="preserve">C170</t>
  </si>
  <si>
    <t xml:space="preserve">Descuento [Costo de salir a bolsa]</t>
  </si>
  <si>
    <t xml:space="preserve">Sensibilidad!C20</t>
  </si>
  <si>
    <t xml:space="preserve">C171</t>
  </si>
  <si>
    <t xml:space="preserve">Descuento [Anexo 8 (lectura)]</t>
  </si>
  <si>
    <t xml:space="preserve">Sensibilidad!D20</t>
  </si>
  <si>
    <t xml:space="preserve">C172</t>
  </si>
  <si>
    <t xml:space="preserve">Descuento [Regla práctica]</t>
  </si>
  <si>
    <t xml:space="preserve">Sensibilidad!E20</t>
  </si>
  <si>
    <t xml:space="preserve">C173</t>
  </si>
  <si>
    <t xml:space="preserve">Descuento [Académico]</t>
  </si>
  <si>
    <t xml:space="preserve">Sensibilidad!F20</t>
  </si>
  <si>
    <t xml:space="preserve">C174</t>
  </si>
  <si>
    <t xml:space="preserve">Patrimonio [Ninguno (base)]</t>
  </si>
  <si>
    <t xml:space="preserve">Sensibilidad!B21</t>
  </si>
  <si>
    <t xml:space="preserve">C175</t>
  </si>
  <si>
    <t xml:space="preserve">Patrimonio [Costo de salir a bolsa]</t>
  </si>
  <si>
    <t xml:space="preserve">Sensibilidad!C21</t>
  </si>
  <si>
    <t xml:space="preserve">C176</t>
  </si>
  <si>
    <t xml:space="preserve">Patrimonio [Anexo 8 (lectura)]</t>
  </si>
  <si>
    <t xml:space="preserve">Sensibilidad!D21</t>
  </si>
  <si>
    <t xml:space="preserve">C177</t>
  </si>
  <si>
    <t xml:space="preserve">Patrimonio [Regla práctica]</t>
  </si>
  <si>
    <t xml:space="preserve">Sensibilidad!E21</t>
  </si>
  <si>
    <t xml:space="preserve">C178</t>
  </si>
  <si>
    <t xml:space="preserve">Patrimonio [Académico]</t>
  </si>
  <si>
    <t xml:space="preserve">Sensibilidad!F21</t>
  </si>
  <si>
    <t xml:space="preserve">C179</t>
  </si>
  <si>
    <t xml:space="preserve">Descuento por iliquidez aplicado al patrimonio [Valor]</t>
  </si>
  <si>
    <t xml:space="preserve">Supuestos!C29</t>
  </si>
  <si>
    <t xml:space="preserve">C180</t>
  </si>
  <si>
    <t xml:space="preserve">Costo_Capital!C9</t>
  </si>
  <si>
    <t xml:space="preserve">C181</t>
  </si>
  <si>
    <t xml:space="preserve">Costo_Capital!C5</t>
  </si>
  <si>
    <t xml:space="preserve">C182</t>
  </si>
  <si>
    <t xml:space="preserve">Costo_Capital!C11</t>
  </si>
  <si>
    <t xml:space="preserve">C183</t>
  </si>
  <si>
    <t xml:space="preserve">Costo_Capital!C12</t>
  </si>
  <si>
    <t xml:space="preserve">C184</t>
  </si>
  <si>
    <t xml:space="preserve">Costo_Capital!C14</t>
  </si>
  <si>
    <t xml:space="preserve">C185</t>
  </si>
  <si>
    <t xml:space="preserve">Costo_Capital!C17</t>
  </si>
  <si>
    <t xml:space="preserve">C186</t>
  </si>
  <si>
    <t xml:space="preserve">Valoracion!C63</t>
  </si>
  <si>
    <t xml:space="preserve">C187</t>
  </si>
  <si>
    <t xml:space="preserve">Utilidad operativa después de impuestos (NOPAT) [2008]</t>
  </si>
  <si>
    <t xml:space="preserve">Proyeccion!D17</t>
  </si>
  <si>
    <t xml:space="preserve">C188</t>
  </si>
  <si>
    <t xml:space="preserve">(sin etiqueta)</t>
  </si>
  <si>
    <t xml:space="preserve">Sensibilidad!D4</t>
  </si>
  <si>
    <t xml:space="preserve">C189</t>
  </si>
  <si>
    <t xml:space="preserve">Sensibilidad!A7</t>
  </si>
  <si>
    <t xml:space="preserve">C190</t>
  </si>
  <si>
    <t xml:space="preserve">Sensibilidad!A8</t>
  </si>
  <si>
    <t xml:space="preserve">C191</t>
  </si>
  <si>
    <t xml:space="preserve">Sensibilidad!D7</t>
  </si>
  <si>
    <t xml:space="preserve">C192</t>
  </si>
  <si>
    <t xml:space="preserve">Sensibilidad!D8</t>
  </si>
  <si>
    <t xml:space="preserve">C193</t>
  </si>
  <si>
    <t xml:space="preserve">Valoracion!C8</t>
  </si>
  <si>
    <t xml:space="preserve">C194</t>
  </si>
  <si>
    <t xml:space="preserve">Flujo de caja libre no apalancado [2013 normal.]</t>
  </si>
  <si>
    <t xml:space="preserve">Proyeccion!I28</t>
  </si>
  <si>
    <t xml:space="preserve">C195</t>
  </si>
  <si>
    <t xml:space="preserve">Valoracion!C9</t>
  </si>
  <si>
    <t xml:space="preserve">C196</t>
  </si>
  <si>
    <t xml:space="preserve">Valoracion!C10</t>
  </si>
  <si>
    <t xml:space="preserve">C197</t>
  </si>
  <si>
    <t xml:space="preserve">Valoracion!C15</t>
  </si>
  <si>
    <t xml:space="preserve">C198</t>
  </si>
  <si>
    <t xml:space="preserve">Valoracion!C16</t>
  </si>
  <si>
    <t xml:space="preserve">C199</t>
  </si>
  <si>
    <t xml:space="preserve">Valoracion!C17</t>
  </si>
  <si>
    <t xml:space="preserve">C200</t>
  </si>
  <si>
    <t xml:space="preserve">Valoracion!C18</t>
  </si>
  <si>
    <t xml:space="preserve">C201</t>
  </si>
  <si>
    <t xml:space="preserve">Valoracion!C22</t>
  </si>
  <si>
    <t xml:space="preserve">C202</t>
  </si>
  <si>
    <t xml:space="preserve">Valoracion!C23</t>
  </si>
  <si>
    <t xml:space="preserve">C203</t>
  </si>
  <si>
    <t xml:space="preserve">Valoracion!C24</t>
  </si>
  <si>
    <t xml:space="preserve">C204</t>
  </si>
  <si>
    <t xml:space="preserve">ROIC (NOPAT / capital invertido al inicio del año) [2012]</t>
  </si>
  <si>
    <t xml:space="preserve">Proyeccion!H30</t>
  </si>
  <si>
    <t xml:space="preserve">C205</t>
  </si>
  <si>
    <t xml:space="preserve">Tasa de reinversión = (capex − D&amp;A + Δ capital de trabajo) / NOPAT [2012]</t>
  </si>
  <si>
    <t xml:space="preserve">Proyeccion!H31</t>
  </si>
  <si>
    <t xml:space="preserve">C206</t>
  </si>
  <si>
    <t xml:space="preserve">Valoracion!C49</t>
  </si>
  <si>
    <t xml:space="preserve">C207</t>
  </si>
  <si>
    <t xml:space="preserve">Valoracion!C50</t>
  </si>
  <si>
    <t xml:space="preserve">C208</t>
  </si>
  <si>
    <t xml:space="preserve">Valoracion!C54</t>
  </si>
  <si>
    <t xml:space="preserve">C209</t>
  </si>
  <si>
    <t xml:space="preserve">Valoracion!C53</t>
  </si>
  <si>
    <t xml:space="preserve">C210</t>
  </si>
  <si>
    <t xml:space="preserve">Valoracion!C44</t>
  </si>
  <si>
    <t xml:space="preserve">C211</t>
  </si>
  <si>
    <t xml:space="preserve">Valoracion!C43</t>
  </si>
  <si>
    <t xml:space="preserve">C212</t>
  </si>
  <si>
    <t xml:space="preserve">Promedio [Margen EBITDA]</t>
  </si>
  <si>
    <t xml:space="preserve">Comparables!M11</t>
  </si>
  <si>
    <t xml:space="preserve">C213</t>
  </si>
  <si>
    <t xml:space="preserve">Margen EBITDA [2008]</t>
  </si>
  <si>
    <t xml:space="preserve">Proyeccion!D13</t>
  </si>
  <si>
    <t xml:space="preserve">C214</t>
  </si>
  <si>
    <t xml:space="preserve">Mediana [P/U]</t>
  </si>
  <si>
    <t xml:space="preserve">Comparables!S13</t>
  </si>
  <si>
    <t xml:space="preserve">C215</t>
  </si>
  <si>
    <t xml:space="preserve">Valor terminal: perpetuidad vs. múltiplo [Bajo]</t>
  </si>
  <si>
    <t xml:space="preserve">Sensibilidad!B29</t>
  </si>
  <si>
    <t xml:space="preserve">C216</t>
  </si>
  <si>
    <t xml:space="preserve">Valor terminal: perpetuidad vs. múltiplo [Alto]</t>
  </si>
  <si>
    <t xml:space="preserve">Sensibilidad!C29</t>
  </si>
  <si>
    <t xml:space="preserve">C217</t>
  </si>
  <si>
    <t xml:space="preserve">Valor terminal: perpetuidad vs. múltiplo [Rango]</t>
  </si>
  <si>
    <t xml:space="preserve">Sensibilidad!D29</t>
  </si>
  <si>
    <t xml:space="preserve">C218</t>
  </si>
  <si>
    <t xml:space="preserve">Escenario combinado de riesgo [Bajo]</t>
  </si>
  <si>
    <t xml:space="preserve">Sensibilidad!B32</t>
  </si>
  <si>
    <t xml:space="preserve">C219</t>
  </si>
  <si>
    <t xml:space="preserve">Escenario combinado de riesgo [Alto]</t>
  </si>
  <si>
    <t xml:space="preserve">Sensibilidad!C32</t>
  </si>
  <si>
    <t xml:space="preserve">C220</t>
  </si>
  <si>
    <t xml:space="preserve">Escenario combinado de riesgo [Rango]</t>
  </si>
  <si>
    <t xml:space="preserve">Sensibilidad!D32</t>
  </si>
  <si>
    <t xml:space="preserve">C221</t>
  </si>
  <si>
    <t xml:space="preserve">PRM 4% - 6% [Bajo]</t>
  </si>
  <si>
    <t xml:space="preserve">Sensibilidad!B27</t>
  </si>
  <si>
    <t xml:space="preserve">C222</t>
  </si>
  <si>
    <t xml:space="preserve">PRM 4% - 6% [Alto]</t>
  </si>
  <si>
    <t xml:space="preserve">Sensibilidad!C27</t>
  </si>
  <si>
    <t xml:space="preserve">C223</t>
  </si>
  <si>
    <t xml:space="preserve">PRM 4% - 6% [Rango]</t>
  </si>
  <si>
    <t xml:space="preserve">Sensibilidad!D27</t>
  </si>
  <si>
    <t xml:space="preserve">C224</t>
  </si>
  <si>
    <t xml:space="preserve">Descuento por iliquidez 0% - 25% [Bajo]</t>
  </si>
  <si>
    <t xml:space="preserve">Sensibilidad!B31</t>
  </si>
  <si>
    <t xml:space="preserve">C225</t>
  </si>
  <si>
    <t xml:space="preserve">Descuento por iliquidez 0% - 25% [Alto]</t>
  </si>
  <si>
    <t xml:space="preserve">Sensibilidad!C31</t>
  </si>
  <si>
    <t xml:space="preserve">C226</t>
  </si>
  <si>
    <t xml:space="preserve">Descuento por iliquidez 0% - 25% [Rango]</t>
  </si>
  <si>
    <t xml:space="preserve">Sensibilidad!D31</t>
  </si>
  <si>
    <t xml:space="preserve">C227</t>
  </si>
  <si>
    <t xml:space="preserve">Afiliadas y minoritario: libros vs. P/U [Alto]</t>
  </si>
  <si>
    <t xml:space="preserve">Sensibilidad!C30</t>
  </si>
  <si>
    <t xml:space="preserve">C228</t>
  </si>
  <si>
    <t xml:space="preserve">Afiliadas y minoritario: libros vs. P/U [Rango]</t>
  </si>
  <si>
    <t xml:space="preserve">Sensibilidad!D30</t>
  </si>
  <si>
    <t xml:space="preserve">C229</t>
  </si>
  <si>
    <t xml:space="preserve">D/V objetivo (mediana a 50%) [Bajo]</t>
  </si>
  <si>
    <t xml:space="preserve">Sensibilidad!B28</t>
  </si>
  <si>
    <t xml:space="preserve">C230</t>
  </si>
  <si>
    <t xml:space="preserve">D/V objetivo (mediana a 50%) [Alto]</t>
  </si>
  <si>
    <t xml:space="preserve">Sensibilidad!C28</t>
  </si>
  <si>
    <t xml:space="preserve">C231</t>
  </si>
  <si>
    <t xml:space="preserve">D/V objetivo (mediana a 50%) [Rango]</t>
  </si>
  <si>
    <t xml:space="preserve">Sensibilidad!D28</t>
  </si>
  <si>
    <t xml:space="preserve">C232</t>
  </si>
  <si>
    <t xml:space="preserve">Método de beta (opciones 1 a 3) [Bajo]</t>
  </si>
  <si>
    <t xml:space="preserve">Sensibilidad!B26</t>
  </si>
  <si>
    <t xml:space="preserve">C233</t>
  </si>
  <si>
    <t xml:space="preserve">Método de beta (opciones 1 a 3) [Alto]</t>
  </si>
  <si>
    <t xml:space="preserve">Sensibilidad!C26</t>
  </si>
  <si>
    <t xml:space="preserve">C234</t>
  </si>
  <si>
    <t xml:space="preserve">Método de beta (opciones 1 a 3) [Rango]</t>
  </si>
  <si>
    <t xml:space="preserve">Sensibilidad!D26</t>
  </si>
  <si>
    <t xml:space="preserve">C235</t>
  </si>
  <si>
    <t xml:space="preserve">g ± 0,5 pp [Bajo]</t>
  </si>
  <si>
    <t xml:space="preserve">Sensibilidad!B25</t>
  </si>
  <si>
    <t xml:space="preserve">C236</t>
  </si>
  <si>
    <t xml:space="preserve">g ± 0,5 pp [Alto]</t>
  </si>
  <si>
    <t xml:space="preserve">Sensibilidad!C25</t>
  </si>
  <si>
    <t xml:space="preserve">C237</t>
  </si>
  <si>
    <t xml:space="preserve">g ± 0,5 pp [Rango]</t>
  </si>
  <si>
    <t xml:space="preserve">Sensibilidad!D25</t>
  </si>
  <si>
    <t xml:space="preserve">C238</t>
  </si>
  <si>
    <t xml:space="preserve">Indicador: deuda total / EBITDA [2007 proforma]</t>
  </si>
  <si>
    <t xml:space="preserve">Proyeccion!C89</t>
  </si>
  <si>
    <t xml:space="preserve">C239</t>
  </si>
  <si>
    <t xml:space="preserve">Valoracion!C64</t>
  </si>
  <si>
    <t xml:space="preserve">C240</t>
  </si>
  <si>
    <t xml:space="preserve">Ahorro de backhaul (antes de impuestos) [2012]</t>
  </si>
  <si>
    <t xml:space="preserve">Sinergias!H8</t>
  </si>
  <si>
    <t xml:space="preserve">C241</t>
  </si>
  <si>
    <t xml:space="preserve">Valoracion!C67</t>
  </si>
  <si>
    <t xml:space="preserve">C242</t>
  </si>
  <si>
    <t xml:space="preserve">Crecimiento de ingresos por servicios [2008]</t>
  </si>
  <si>
    <t xml:space="preserve">Supuestos!D36</t>
  </si>
  <si>
    <t xml:space="preserve">C243</t>
  </si>
  <si>
    <t xml:space="preserve">Crecimiento de ingresos por servicios [2009]</t>
  </si>
  <si>
    <t xml:space="preserve">Supuestos!E36</t>
  </si>
  <si>
    <t xml:space="preserve">C244</t>
  </si>
  <si>
    <t xml:space="preserve">Crecimiento de ingresos por servicios [2010]</t>
  </si>
  <si>
    <t xml:space="preserve">Supuestos!F36</t>
  </si>
  <si>
    <t xml:space="preserve">C245</t>
  </si>
  <si>
    <t xml:space="preserve">Crecimiento de ingresos por servicios [2011]</t>
  </si>
  <si>
    <t xml:space="preserve">Supuestos!G36</t>
  </si>
  <si>
    <t xml:space="preserve">C246</t>
  </si>
  <si>
    <t xml:space="preserve">Crecimiento de ingresos por servicios [2012]</t>
  </si>
  <si>
    <t xml:space="preserve">Supuestos!H36</t>
  </si>
  <si>
    <t xml:space="preserve">C247</t>
  </si>
  <si>
    <t xml:space="preserve">Costos de operación del sistema / ingresos por servicios [2008]</t>
  </si>
  <si>
    <t xml:space="preserve">Supuestos!D37</t>
  </si>
  <si>
    <t xml:space="preserve">C248</t>
  </si>
  <si>
    <t xml:space="preserve">Costo de equipos vendidos / ingresos por equipos [2008]</t>
  </si>
  <si>
    <t xml:space="preserve">Supuestos!D38</t>
  </si>
  <si>
    <t xml:space="preserve">C249</t>
  </si>
  <si>
    <t xml:space="preserve">SG&amp;A / ingresos totales [2008]</t>
  </si>
  <si>
    <t xml:space="preserve">Supuestos!D39</t>
  </si>
  <si>
    <t xml:space="preserve">C250</t>
  </si>
  <si>
    <t xml:space="preserve">Capex / ingresos totales [2008]</t>
  </si>
  <si>
    <t xml:space="preserve">Supuestos!D41</t>
  </si>
  <si>
    <t xml:space="preserve">C251</t>
  </si>
  <si>
    <t xml:space="preserve">Capex / ingresos totales [2012]</t>
  </si>
  <si>
    <t xml:space="preserve">Supuestos!H41</t>
  </si>
  <si>
    <t xml:space="preserve">C252</t>
  </si>
  <si>
    <t xml:space="preserve">Días de proveedores (sobre costos operativos en efectivo) [Valor]</t>
  </si>
  <si>
    <t xml:space="preserve">Supuestos!C49</t>
  </si>
  <si>
    <t xml:space="preserve">C253</t>
  </si>
  <si>
    <t xml:space="preserve">Días de pasivos acumulados (sobre costos operativos en efectivo) [Valor]</t>
  </si>
  <si>
    <t xml:space="preserve">Supuestos!C51</t>
  </si>
  <si>
    <t xml:space="preserve">C254</t>
  </si>
  <si>
    <t xml:space="preserve">Deuda!C3</t>
  </si>
  <si>
    <t xml:space="preserve">C255</t>
  </si>
  <si>
    <t xml:space="preserve">Deuda!C6</t>
  </si>
  <si>
    <t xml:space="preserve">C256</t>
  </si>
  <si>
    <t xml:space="preserve">Ingresos totales [2007 real]</t>
  </si>
  <si>
    <t xml:space="preserve">Proyeccion!C8</t>
  </si>
  <si>
    <t xml:space="preserve">C257</t>
  </si>
  <si>
    <t xml:space="preserve">Ingresos totales [2008]</t>
  </si>
  <si>
    <t xml:space="preserve">Proyeccion!D8</t>
  </si>
  <si>
    <t xml:space="preserve">C258</t>
  </si>
  <si>
    <t xml:space="preserve">Ingresos totales [2010]</t>
  </si>
  <si>
    <t xml:space="preserve">Proyeccion!F8</t>
  </si>
  <si>
    <t xml:space="preserve">C259</t>
  </si>
  <si>
    <t xml:space="preserve">Ingresos totales [2012]</t>
  </si>
  <si>
    <t xml:space="preserve">Proyeccion!H8</t>
  </si>
  <si>
    <t xml:space="preserve">C260</t>
  </si>
  <si>
    <t xml:space="preserve">EBITDA [2007 real]</t>
  </si>
  <si>
    <t xml:space="preserve">Proyeccion!C12</t>
  </si>
  <si>
    <t xml:space="preserve">C261</t>
  </si>
  <si>
    <t xml:space="preserve">EBITDA [2008]</t>
  </si>
  <si>
    <t xml:space="preserve">Proyeccion!D12</t>
  </si>
  <si>
    <t xml:space="preserve">C262</t>
  </si>
  <si>
    <t xml:space="preserve">EBITDA [2010]</t>
  </si>
  <si>
    <t xml:space="preserve">Proyeccion!F12</t>
  </si>
  <si>
    <t xml:space="preserve">C263</t>
  </si>
  <si>
    <t xml:space="preserve">EBITDA [2012]</t>
  </si>
  <si>
    <t xml:space="preserve">Proyeccion!H12</t>
  </si>
  <si>
    <t xml:space="preserve">C264</t>
  </si>
  <si>
    <t xml:space="preserve">Margen EBITDA [2007 real]</t>
  </si>
  <si>
    <t xml:space="preserve">Proyeccion!C13</t>
  </si>
  <si>
    <t xml:space="preserve">C265</t>
  </si>
  <si>
    <t xml:space="preserve">Margen EBITDA [2010]</t>
  </si>
  <si>
    <t xml:space="preserve">Proyeccion!F13</t>
  </si>
  <si>
    <t xml:space="preserve">C266</t>
  </si>
  <si>
    <t xml:space="preserve">Margen EBITDA [2012]</t>
  </si>
  <si>
    <t xml:space="preserve">Proyeccion!H13</t>
  </si>
  <si>
    <t xml:space="preserve">C267</t>
  </si>
  <si>
    <t xml:space="preserve">Utilidad operativa después de impuestos (NOPAT) [2010]</t>
  </si>
  <si>
    <t xml:space="preserve">Proyeccion!F17</t>
  </si>
  <si>
    <t xml:space="preserve">C268</t>
  </si>
  <si>
    <t xml:space="preserve">Utilidad operativa después de impuestos (NOPAT) [2012]</t>
  </si>
  <si>
    <t xml:space="preserve">Proyeccion!H17</t>
  </si>
  <si>
    <t xml:space="preserve">C269</t>
  </si>
  <si>
    <t xml:space="preserve">Capex [2008]</t>
  </si>
  <si>
    <t xml:space="preserve">Proyeccion!D27</t>
  </si>
  <si>
    <t xml:space="preserve">C270</t>
  </si>
  <si>
    <t xml:space="preserve">Capex [2010]</t>
  </si>
  <si>
    <t xml:space="preserve">Proyeccion!F27</t>
  </si>
  <si>
    <t xml:space="preserve">C271</t>
  </si>
  <si>
    <t xml:space="preserve">Capex [2012]</t>
  </si>
  <si>
    <t xml:space="preserve">Proyeccion!H27</t>
  </si>
  <si>
    <t xml:space="preserve">C272</t>
  </si>
  <si>
    <t xml:space="preserve">Flujo de caja libre no apalancado [2008]</t>
  </si>
  <si>
    <t xml:space="preserve">Proyeccion!D28</t>
  </si>
  <si>
    <t xml:space="preserve">C273</t>
  </si>
  <si>
    <t xml:space="preserve">Flujo de caja libre no apalancado [2010]</t>
  </si>
  <si>
    <t xml:space="preserve">Proyeccion!F28</t>
  </si>
  <si>
    <t xml:space="preserve">C274</t>
  </si>
  <si>
    <t xml:space="preserve">Flujo de caja libre no apalancado [2012]</t>
  </si>
  <si>
    <t xml:space="preserve">Proyeccion!H28</t>
  </si>
  <si>
    <t xml:space="preserve">C275</t>
  </si>
  <si>
    <t xml:space="preserve">Gasto de intereses [2007]</t>
  </si>
  <si>
    <t xml:space="preserve">Historicos!E14</t>
  </si>
  <si>
    <t xml:space="preserve">C276</t>
  </si>
  <si>
    <t xml:space="preserve">Intereses de la deuda de adquisición [2008]</t>
  </si>
  <si>
    <t xml:space="preserve">Proyeccion!D50</t>
  </si>
  <si>
    <t xml:space="preserve">C277</t>
  </si>
  <si>
    <t xml:space="preserve">Intereses de la línea de crédito (Kd sobre saldo inicial) [2008]</t>
  </si>
  <si>
    <t xml:space="preserve">Proyeccion!D51</t>
  </si>
  <si>
    <t xml:space="preserve">C278</t>
  </si>
  <si>
    <t xml:space="preserve">Intereses de la deuda de adquisición [2010]</t>
  </si>
  <si>
    <t xml:space="preserve">Proyeccion!F50</t>
  </si>
  <si>
    <t xml:space="preserve">C279</t>
  </si>
  <si>
    <t xml:space="preserve">Intereses de la línea de crédito (Kd sobre saldo inicial) [2010]</t>
  </si>
  <si>
    <t xml:space="preserve">Proyeccion!F51</t>
  </si>
  <si>
    <t xml:space="preserve">C280</t>
  </si>
  <si>
    <t xml:space="preserve">Intereses de la deuda de adquisición [2012]</t>
  </si>
  <si>
    <t xml:space="preserve">Proyeccion!H50</t>
  </si>
  <si>
    <t xml:space="preserve">C281</t>
  </si>
  <si>
    <t xml:space="preserve">Intereses de la línea de crédito (Kd sobre saldo inicial) [2012]</t>
  </si>
  <si>
    <t xml:space="preserve">Proyeccion!H51</t>
  </si>
  <si>
    <t xml:space="preserve">C282</t>
  </si>
  <si>
    <t xml:space="preserve">Utilidad neta (solo operaciones) [2008]</t>
  </si>
  <si>
    <t xml:space="preserve">Proyeccion!D54</t>
  </si>
  <si>
    <t xml:space="preserve">C283</t>
  </si>
  <si>
    <t xml:space="preserve">Utilidad neta (solo operaciones) [2010]</t>
  </si>
  <si>
    <t xml:space="preserve">Proyeccion!F54</t>
  </si>
  <si>
    <t xml:space="preserve">C284</t>
  </si>
  <si>
    <t xml:space="preserve">Utilidad neta (solo operaciones) [2012]</t>
  </si>
  <si>
    <t xml:space="preserve">Proyeccion!H54</t>
  </si>
  <si>
    <t xml:space="preserve">C285</t>
  </si>
  <si>
    <t xml:space="preserve">Deuda de adquisición (2012: saldo a refinanciar) [2007 proforma]</t>
  </si>
  <si>
    <t xml:space="preserve">Proyeccion!C71</t>
  </si>
  <si>
    <t xml:space="preserve">C286</t>
  </si>
  <si>
    <t xml:space="preserve">Deuda de adquisición (2012: saldo a refinanciar) [2008]</t>
  </si>
  <si>
    <t xml:space="preserve">Proyeccion!D71</t>
  </si>
  <si>
    <t xml:space="preserve">C287</t>
  </si>
  <si>
    <t xml:space="preserve">Deuda de adquisición (2012: saldo a refinanciar) [2010]</t>
  </si>
  <si>
    <t xml:space="preserve">Proyeccion!F71</t>
  </si>
  <si>
    <t xml:space="preserve">C288</t>
  </si>
  <si>
    <t xml:space="preserve">Deuda de adquisición (2012: saldo a refinanciar) [2012]</t>
  </si>
  <si>
    <t xml:space="preserve">Proyeccion!H71</t>
  </si>
  <si>
    <t xml:space="preserve">C289</t>
  </si>
  <si>
    <t xml:space="preserve">Línea de crédito (variable de cierre) [2008]</t>
  </si>
  <si>
    <t xml:space="preserve">Proyeccion!D70</t>
  </si>
  <si>
    <t xml:space="preserve">C290</t>
  </si>
  <si>
    <t xml:space="preserve">Línea de crédito (variable de cierre) [2010]</t>
  </si>
  <si>
    <t xml:space="preserve">Proyeccion!F70</t>
  </si>
  <si>
    <t xml:space="preserve">C291</t>
  </si>
  <si>
    <t xml:space="preserve">Indicador: deuda total / EBITDA [2008]</t>
  </si>
  <si>
    <t xml:space="preserve">Proyeccion!D89</t>
  </si>
  <si>
    <t xml:space="preserve">C292</t>
  </si>
  <si>
    <t xml:space="preserve">Indicador: deuda total / EBITDA [2010]</t>
  </si>
  <si>
    <t xml:space="preserve">Proyeccion!F89</t>
  </si>
  <si>
    <t xml:space="preserve">C293</t>
  </si>
  <si>
    <t xml:space="preserve">Indicador: deuda total / EBITDA [2012]</t>
  </si>
  <si>
    <t xml:space="preserve">Proyeccion!H89</t>
  </si>
  <si>
    <t xml:space="preserve">C294</t>
  </si>
  <si>
    <t xml:space="preserve">Indicador: EBITDA / intereses totales [2008]</t>
  </si>
  <si>
    <t xml:space="preserve">Proyeccion!D90</t>
  </si>
  <si>
    <t xml:space="preserve">C295</t>
  </si>
  <si>
    <t xml:space="preserve">Indicador: EBITDA / intereses totales [2010]</t>
  </si>
  <si>
    <t xml:space="preserve">Proyeccion!F90</t>
  </si>
  <si>
    <t xml:space="preserve">C296</t>
  </si>
  <si>
    <t xml:space="preserve">Indicador: EBITDA / intereses totales [2012]</t>
  </si>
  <si>
    <t xml:space="preserve">Proyeccion!H90</t>
  </si>
  <si>
    <t xml:space="preserve">C297</t>
  </si>
  <si>
    <t xml:space="preserve">Indicador: margen EBIT [2007 proforma]</t>
  </si>
  <si>
    <t xml:space="preserve">Proyeccion!C86</t>
  </si>
  <si>
    <t xml:space="preserve">C298</t>
  </si>
  <si>
    <t xml:space="preserve">Indicador: margen EBIT [2008]</t>
  </si>
  <si>
    <t xml:space="preserve">Proyeccion!D86</t>
  </si>
  <si>
    <t xml:space="preserve">C299</t>
  </si>
  <si>
    <t xml:space="preserve">Indicador: margen EBIT [2010]</t>
  </si>
  <si>
    <t xml:space="preserve">Proyeccion!F86</t>
  </si>
  <si>
    <t xml:space="preserve">C300</t>
  </si>
  <si>
    <t xml:space="preserve">Indicador: margen EBIT [2012]</t>
  </si>
  <si>
    <t xml:space="preserve">Proyeccion!H86</t>
  </si>
  <si>
    <t xml:space="preserve">C301</t>
  </si>
  <si>
    <t xml:space="preserve">Control!G13</t>
  </si>
  <si>
    <t xml:space="preserve">C302</t>
  </si>
  <si>
    <t xml:space="preserve">Control!G14</t>
  </si>
  <si>
    <t xml:space="preserve">C303</t>
  </si>
  <si>
    <t xml:space="preserve">Sensibilidad!B4</t>
  </si>
  <si>
    <t xml:space="preserve">C304</t>
  </si>
  <si>
    <t xml:space="preserve">Sensibilidad!E4</t>
  </si>
  <si>
    <t xml:space="preserve">C305</t>
  </si>
  <si>
    <t xml:space="preserve">Sensibilidad!G4</t>
  </si>
  <si>
    <t xml:space="preserve">C306</t>
  </si>
  <si>
    <t xml:space="preserve">Sensibilidad!A5</t>
  </si>
  <si>
    <t xml:space="preserve">C307</t>
  </si>
  <si>
    <t xml:space="preserve">Sensibilidad!B5</t>
  </si>
  <si>
    <t xml:space="preserve">C308</t>
  </si>
  <si>
    <t xml:space="preserve">Sensibilidad!D5</t>
  </si>
  <si>
    <t xml:space="preserve">C309</t>
  </si>
  <si>
    <t xml:space="preserve">Sensibilidad!E5</t>
  </si>
  <si>
    <t xml:space="preserve">C310</t>
  </si>
  <si>
    <t xml:space="preserve">Sensibilidad!G5</t>
  </si>
  <si>
    <t xml:space="preserve">C311</t>
  </si>
  <si>
    <t xml:space="preserve">Sensibilidad!B7</t>
  </si>
  <si>
    <t xml:space="preserve">C312</t>
  </si>
  <si>
    <t xml:space="preserve">Sensibilidad!E7</t>
  </si>
  <si>
    <t xml:space="preserve">C313</t>
  </si>
  <si>
    <t xml:space="preserve">Sensibilidad!G7</t>
  </si>
  <si>
    <t xml:space="preserve">C314</t>
  </si>
  <si>
    <t xml:space="preserve">Sensibilidad!B8</t>
  </si>
  <si>
    <t xml:space="preserve">C315</t>
  </si>
  <si>
    <t xml:space="preserve">Sensibilidad!E8</t>
  </si>
  <si>
    <t xml:space="preserve">C316</t>
  </si>
  <si>
    <t xml:space="preserve">Sensibilidad!G8</t>
  </si>
  <si>
    <t xml:space="preserve">C317</t>
  </si>
  <si>
    <t xml:space="preserve">Sensibilidad!A9</t>
  </si>
  <si>
    <t xml:space="preserve">C318</t>
  </si>
  <si>
    <t xml:space="preserve">Sensibilidad!B9</t>
  </si>
  <si>
    <t xml:space="preserve">C319</t>
  </si>
  <si>
    <t xml:space="preserve">Sensibilidad!D9</t>
  </si>
  <si>
    <t xml:space="preserve">C320</t>
  </si>
  <si>
    <t xml:space="preserve">Sensibilidad!E9</t>
  </si>
  <si>
    <t xml:space="preserve">C321</t>
  </si>
  <si>
    <t xml:space="preserve">Sensibilidad!G9</t>
  </si>
  <si>
    <t xml:space="preserve">C322</t>
  </si>
  <si>
    <t xml:space="preserve">Sensibilidad!A11</t>
  </si>
  <si>
    <t xml:space="preserve">C323</t>
  </si>
  <si>
    <t xml:space="preserve">Sensibilidad!B11</t>
  </si>
  <si>
    <t xml:space="preserve">C324</t>
  </si>
  <si>
    <t xml:space="preserve">Sensibilidad!D11</t>
  </si>
  <si>
    <t xml:space="preserve">C325</t>
  </si>
  <si>
    <t xml:space="preserve">Sensibilidad!E11</t>
  </si>
  <si>
    <t xml:space="preserve">C326</t>
  </si>
  <si>
    <t xml:space="preserve">Sensibilidad!G11</t>
  </si>
  <si>
    <t xml:space="preserve">C327</t>
  </si>
  <si>
    <t xml:space="preserve">Ajuste al crecimiento de ingresos por servicios (pp por año) [Precios]</t>
  </si>
  <si>
    <t xml:space="preserve">Supuestos!D63</t>
  </si>
  <si>
    <t xml:space="preserve">C328</t>
  </si>
  <si>
    <t xml:space="preserve">Ajuste a SG&amp;A / ingresos totales (pp) [Adquisición]</t>
  </si>
  <si>
    <t xml:space="preserve">Supuestos!E64</t>
  </si>
  <si>
    <t xml:space="preserve">C329</t>
  </si>
  <si>
    <t xml:space="preserve">EBITDA 2012 [Base]</t>
  </si>
  <si>
    <t xml:space="preserve">Escenarios!C181</t>
  </si>
  <si>
    <t xml:space="preserve">C330</t>
  </si>
  <si>
    <t xml:space="preserve">EBITDA 2012 [Precios]</t>
  </si>
  <si>
    <t xml:space="preserve">Escenarios!D181</t>
  </si>
  <si>
    <t xml:space="preserve">C331</t>
  </si>
  <si>
    <t xml:space="preserve">EBITDA 2012 [Adquisición]</t>
  </si>
  <si>
    <t xml:space="preserve">Escenarios!E181</t>
  </si>
  <si>
    <t xml:space="preserve">C332</t>
  </si>
  <si>
    <t xml:space="preserve">EBITDA 2012 [Combinado]</t>
  </si>
  <si>
    <t xml:space="preserve">Escenarios!F181</t>
  </si>
  <si>
    <t xml:space="preserve">C333</t>
  </si>
  <si>
    <t xml:space="preserve">Crecimiento a perpetuidad (g) [Base]</t>
  </si>
  <si>
    <t xml:space="preserve">Escenarios!C184</t>
  </si>
  <si>
    <t xml:space="preserve">C334</t>
  </si>
  <si>
    <t xml:space="preserve">Crecimiento a perpetuidad (g) [Precios]</t>
  </si>
  <si>
    <t xml:space="preserve">Escenarios!D184</t>
  </si>
  <si>
    <t xml:space="preserve">C335</t>
  </si>
  <si>
    <t xml:space="preserve">Crecimiento a perpetuidad (g) [Adquisición]</t>
  </si>
  <si>
    <t xml:space="preserve">Escenarios!E184</t>
  </si>
  <si>
    <t xml:space="preserve">C336</t>
  </si>
  <si>
    <t xml:space="preserve">Crecimiento a perpetuidad (g) [Combinado]</t>
  </si>
  <si>
    <t xml:space="preserve">Escenarios!F184</t>
  </si>
  <si>
    <t xml:space="preserve">C337</t>
  </si>
  <si>
    <t xml:space="preserve">Valor del patrimonio sin sinergias [Base]</t>
  </si>
  <si>
    <t xml:space="preserve">Escenarios!C186</t>
  </si>
  <si>
    <t xml:space="preserve">C338</t>
  </si>
  <si>
    <t xml:space="preserve">Valor del patrimonio sin sinergias [Precios]</t>
  </si>
  <si>
    <t xml:space="preserve">Escenarios!D186</t>
  </si>
  <si>
    <t xml:space="preserve">C339</t>
  </si>
  <si>
    <t xml:space="preserve">Valor del patrimonio sin sinergias [Adquisición]</t>
  </si>
  <si>
    <t xml:space="preserve">Escenarios!E186</t>
  </si>
  <si>
    <t xml:space="preserve">C340</t>
  </si>
  <si>
    <t xml:space="preserve">Valor del patrimonio sin sinergias [Combinado]</t>
  </si>
  <si>
    <t xml:space="preserve">Escenarios!F186</t>
  </si>
  <si>
    <t xml:space="preserve">C341</t>
  </si>
  <si>
    <t xml:space="preserve">Δ patrimonio vs. base [Precios]</t>
  </si>
  <si>
    <t xml:space="preserve">Escenarios!D187</t>
  </si>
  <si>
    <t xml:space="preserve">C342</t>
  </si>
  <si>
    <t xml:space="preserve">Δ patrimonio vs. base [Adquisición]</t>
  </si>
  <si>
    <t xml:space="preserve">Escenarios!E187</t>
  </si>
  <si>
    <t xml:space="preserve">C343</t>
  </si>
  <si>
    <t xml:space="preserve">Δ patrimonio vs. base [Combinado]</t>
  </si>
  <si>
    <t xml:space="preserve">Escenarios!F187</t>
  </si>
  <si>
    <t xml:space="preserve">C344</t>
  </si>
  <si>
    <t xml:space="preserve">Sensibilidad!J21</t>
  </si>
  <si>
    <t xml:space="preserve">C345</t>
  </si>
  <si>
    <t xml:space="preserve">Obligación por retiro de activos [2007]</t>
  </si>
  <si>
    <t xml:space="preserve">Historicos!E66</t>
  </si>
  <si>
    <t xml:space="preserve">C346</t>
  </si>
  <si>
    <t xml:space="preserve">Todas coinciden (diferencia máxima en la columna D) [Diferencia]</t>
  </si>
  <si>
    <t xml:space="preserve">Verificacion!D40</t>
  </si>
  <si>
    <t xml:space="preserve">C347</t>
  </si>
  <si>
    <t xml:space="preserve">Control!H18</t>
  </si>
  <si>
    <t xml:space="preserve">C348</t>
  </si>
  <si>
    <t xml:space="preserve">Ingresos por servicios [2008]</t>
  </si>
  <si>
    <t xml:space="preserve">Proyeccion!D5</t>
  </si>
  <si>
    <t xml:space="preserve">C349</t>
  </si>
  <si>
    <t xml:space="preserve">Depreciación y amortización [2008]</t>
  </si>
  <si>
    <t xml:space="preserve">Proyeccion!D14</t>
  </si>
  <si>
    <t xml:space="preserve">C350</t>
  </si>
  <si>
    <t xml:space="preserve">Aumento del capital de trabajo operativo neto [2008]</t>
  </si>
  <si>
    <t xml:space="preserve">Proyeccion!D26</t>
  </si>
  <si>
    <t xml:space="preserve">C351</t>
  </si>
  <si>
    <t xml:space="preserve">Saldo al cierre antes del bullet [2012]</t>
  </si>
  <si>
    <t xml:space="preserve">Deuda!P12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</si>
</sst>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%;\(0.0%\);\-"/>
    <numFmt numFmtId="166" formatCode="0.00%;\(0.00%\);\-"/>
    <numFmt numFmtId="167" formatCode="0.0\x"/>
    <numFmt numFmtId="168" formatCode="0"/>
    <numFmt numFmtId="169" formatCode="0.00\x"/>
    <numFmt numFmtId="170" formatCode="#,##0.0;\(#,##0.0\);\-"/>
    <numFmt numFmtId="171" formatCode="0.00"/>
    <numFmt numFmtId="172" formatCode="#,##0"/>
    <numFmt numFmtId="173" formatCode="0.0000"/>
    <numFmt numFmtId="174" formatCode="0.000"/>
    <numFmt numFmtId="175" formatCode="#,##0;\(#,##0\);\-"/>
    <numFmt numFmtId="176" formatCode="dd/mm/yyyy"/>
    <numFmt numFmtId="177" formatCode="#,##0.0"/>
    <numFmt numFmtId="178" formatCode="#,##0.000000"/>
    <numFmt numFmtId="179" formatCode="0.0E+00"/>
    <numFmt numFmtId="180" formatCode="#,##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4"/>
    <col collapsed="false" customWidth="true" hidden="false" outlineLevel="0" max="3" min="3" style="1" width="13"/>
    <col collapsed="false" customWidth="true" hidden="false" outlineLevel="0" max="8" min="4" style="1" width="12"/>
    <col collapsed="false" customWidth="true" hidden="false" outlineLevel="0" max="9" min="9" style="1" width="7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true" outlineLevel="0" collapsed="false">
      <c r="C5" s="6" t="s">
        <v>3</v>
      </c>
      <c r="I5" s="6" t="s">
        <v>4</v>
      </c>
    </row>
    <row r="6" customFormat="false" ht="15" hidden="false" customHeight="true" outlineLevel="0" collapsed="false">
      <c r="A6" s="7" t="s">
        <v>5</v>
      </c>
      <c r="C6" s="8" t="n">
        <v>0.4</v>
      </c>
      <c r="I6" s="7" t="s">
        <v>6</v>
      </c>
    </row>
    <row r="7" customFormat="false" ht="15" hidden="false" customHeight="true" outlineLevel="0" collapsed="false">
      <c r="A7" s="7" t="s">
        <v>7</v>
      </c>
      <c r="C7" s="9" t="n">
        <v>0.055</v>
      </c>
      <c r="I7" s="7" t="s">
        <v>8</v>
      </c>
    </row>
    <row r="8" customFormat="false" ht="15" hidden="false" customHeight="true" outlineLevel="0" collapsed="false">
      <c r="A8" s="7" t="s">
        <v>9</v>
      </c>
      <c r="C8" s="9" t="n">
        <v>0.0125</v>
      </c>
      <c r="I8" s="7" t="s">
        <v>10</v>
      </c>
    </row>
    <row r="9" customFormat="false" ht="15" hidden="false" customHeight="true" outlineLevel="0" collapsed="false">
      <c r="A9" s="7" t="s">
        <v>11</v>
      </c>
      <c r="C9" s="10" t="n">
        <f aca="false">C7-C8</f>
        <v>0.0425</v>
      </c>
      <c r="I9" s="7" t="s">
        <v>12</v>
      </c>
    </row>
    <row r="10" customFormat="false" ht="15" hidden="false" customHeight="true" outlineLevel="0" collapsed="false">
      <c r="A10" s="7" t="s">
        <v>13</v>
      </c>
      <c r="C10" s="9" t="n">
        <v>0.05</v>
      </c>
      <c r="I10" s="7" t="s">
        <v>14</v>
      </c>
    </row>
    <row r="11" customFormat="false" ht="15" hidden="false" customHeight="true" outlineLevel="0" collapsed="false">
      <c r="A11" s="7" t="s">
        <v>15</v>
      </c>
      <c r="C11" s="11" t="n">
        <v>5</v>
      </c>
      <c r="I11" s="7" t="s">
        <v>16</v>
      </c>
    </row>
    <row r="12" customFormat="false" ht="15" hidden="false" customHeight="true" outlineLevel="0" collapsed="false">
      <c r="A12" s="7" t="s">
        <v>17</v>
      </c>
      <c r="C12" s="8" t="n">
        <v>0.5</v>
      </c>
      <c r="I12" s="7" t="s">
        <v>18</v>
      </c>
    </row>
    <row r="13" customFormat="false" ht="15" hidden="false" customHeight="true" outlineLevel="0" collapsed="false">
      <c r="A13" s="7" t="s">
        <v>19</v>
      </c>
      <c r="C13" s="12" t="n">
        <v>120</v>
      </c>
      <c r="I13" s="7" t="s">
        <v>20</v>
      </c>
    </row>
    <row r="14" customFormat="false" ht="15" hidden="false" customHeight="true" outlineLevel="0" collapsed="false">
      <c r="A14" s="7" t="s">
        <v>21</v>
      </c>
      <c r="C14" s="12" t="n">
        <v>60</v>
      </c>
      <c r="I14" s="7" t="s">
        <v>22</v>
      </c>
    </row>
    <row r="15" customFormat="false" ht="15" hidden="false" customHeight="true" outlineLevel="0" collapsed="false">
      <c r="A15" s="7" t="s">
        <v>23</v>
      </c>
      <c r="C15" s="13" t="n">
        <v>19.095</v>
      </c>
      <c r="I15" s="7" t="s">
        <v>24</v>
      </c>
    </row>
    <row r="16" customFormat="false" ht="15" hidden="false" customHeight="true" outlineLevel="0" collapsed="false">
      <c r="A16" s="7" t="s">
        <v>25</v>
      </c>
      <c r="C16" s="8" t="n">
        <v>0.1</v>
      </c>
      <c r="I16" s="7" t="s">
        <v>26</v>
      </c>
    </row>
    <row r="17" customFormat="false" ht="15" hidden="false" customHeight="true" outlineLevel="0" collapsed="false">
      <c r="A17" s="7" t="s">
        <v>27</v>
      </c>
      <c r="C17" s="8" t="n">
        <v>0.157</v>
      </c>
      <c r="I17" s="7" t="s">
        <v>28</v>
      </c>
    </row>
    <row r="18" customFormat="false" ht="15" hidden="false" customHeight="true" outlineLevel="0" collapsed="false">
      <c r="A18" s="7" t="s">
        <v>29</v>
      </c>
      <c r="C18" s="8" t="n">
        <v>0.25</v>
      </c>
      <c r="I18" s="7" t="s">
        <v>30</v>
      </c>
    </row>
    <row r="19" customFormat="false" ht="15" hidden="false" customHeight="true" outlineLevel="0" collapsed="false">
      <c r="A19" s="7" t="s">
        <v>31</v>
      </c>
      <c r="C19" s="8" t="n">
        <v>0.35</v>
      </c>
      <c r="I19" s="7" t="s">
        <v>32</v>
      </c>
    </row>
    <row r="21" customFormat="false" ht="15" hidden="false" customHeight="true" outlineLevel="0" collapsed="false">
      <c r="A21" s="4" t="s">
        <v>33</v>
      </c>
      <c r="B21" s="5"/>
      <c r="C21" s="5"/>
      <c r="D21" s="5"/>
      <c r="E21" s="5"/>
      <c r="F21" s="5"/>
      <c r="G21" s="5"/>
      <c r="H21" s="5"/>
      <c r="I21" s="5"/>
      <c r="J21" s="5"/>
    </row>
    <row r="22" customFormat="false" ht="15" hidden="false" customHeight="true" outlineLevel="0" collapsed="false">
      <c r="A22" s="7" t="s">
        <v>34</v>
      </c>
      <c r="C22" s="14" t="n">
        <v>3</v>
      </c>
      <c r="I22" s="7" t="s">
        <v>35</v>
      </c>
    </row>
    <row r="23" customFormat="false" ht="15" hidden="false" customHeight="true" outlineLevel="0" collapsed="false">
      <c r="A23" s="7" t="s">
        <v>36</v>
      </c>
      <c r="C23" s="14" t="n">
        <v>1</v>
      </c>
      <c r="I23" s="7" t="s">
        <v>37</v>
      </c>
    </row>
    <row r="24" customFormat="false" ht="15" hidden="false" customHeight="true" outlineLevel="0" collapsed="false">
      <c r="A24" s="7" t="s">
        <v>38</v>
      </c>
      <c r="C24" s="14" t="n">
        <v>1</v>
      </c>
      <c r="I24" s="7" t="s">
        <v>39</v>
      </c>
    </row>
    <row r="25" customFormat="false" ht="15" hidden="false" customHeight="true" outlineLevel="0" collapsed="false">
      <c r="A25" s="7" t="s">
        <v>40</v>
      </c>
      <c r="C25" s="15" t="n">
        <v>0.03</v>
      </c>
      <c r="I25" s="7" t="s">
        <v>41</v>
      </c>
    </row>
    <row r="26" customFormat="false" ht="15" hidden="false" customHeight="true" outlineLevel="0" collapsed="false">
      <c r="A26" s="7" t="s">
        <v>42</v>
      </c>
      <c r="C26" s="14" t="n">
        <v>2</v>
      </c>
      <c r="I26" s="7" t="s">
        <v>43</v>
      </c>
    </row>
    <row r="27" customFormat="false" ht="15" hidden="false" customHeight="true" outlineLevel="0" collapsed="false">
      <c r="A27" s="7" t="s">
        <v>44</v>
      </c>
      <c r="C27" s="14" t="n">
        <v>1</v>
      </c>
      <c r="I27" s="7" t="s">
        <v>45</v>
      </c>
    </row>
    <row r="28" customFormat="false" ht="15" hidden="false" customHeight="true" outlineLevel="0" collapsed="false">
      <c r="A28" s="7" t="s">
        <v>46</v>
      </c>
      <c r="C28" s="14" t="n">
        <v>1</v>
      </c>
      <c r="I28" s="7" t="s">
        <v>47</v>
      </c>
    </row>
    <row r="29" customFormat="false" ht="15" hidden="false" customHeight="true" outlineLevel="0" collapsed="false">
      <c r="A29" s="7" t="s">
        <v>48</v>
      </c>
      <c r="C29" s="15" t="n">
        <v>0</v>
      </c>
      <c r="I29" s="7" t="s">
        <v>49</v>
      </c>
    </row>
    <row r="30" customFormat="false" ht="15" hidden="false" customHeight="true" outlineLevel="0" collapsed="false">
      <c r="A30" s="7" t="s">
        <v>50</v>
      </c>
      <c r="C30" s="15" t="n">
        <v>1</v>
      </c>
      <c r="I30" s="7" t="s">
        <v>51</v>
      </c>
    </row>
    <row r="31" customFormat="false" ht="15" hidden="false" customHeight="true" outlineLevel="0" collapsed="false">
      <c r="A31" s="7" t="s">
        <v>52</v>
      </c>
      <c r="C31" s="15" t="n">
        <v>0.5</v>
      </c>
      <c r="I31" s="7" t="s">
        <v>53</v>
      </c>
    </row>
    <row r="32" customFormat="false" ht="15" hidden="false" customHeight="true" outlineLevel="0" collapsed="false">
      <c r="A32" s="7" t="s">
        <v>54</v>
      </c>
      <c r="C32" s="15" t="n">
        <v>0.005</v>
      </c>
      <c r="I32" s="7" t="s">
        <v>55</v>
      </c>
    </row>
    <row r="34" customFormat="false" ht="15" hidden="false" customHeight="true" outlineLevel="0" collapsed="false">
      <c r="A34" s="4" t="s">
        <v>56</v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true" outlineLevel="0" collapsed="false">
      <c r="A35" s="6" t="s">
        <v>57</v>
      </c>
      <c r="D35" s="6" t="s">
        <v>58</v>
      </c>
      <c r="E35" s="6" t="s">
        <v>59</v>
      </c>
      <c r="F35" s="6" t="s">
        <v>60</v>
      </c>
      <c r="G35" s="6" t="s">
        <v>61</v>
      </c>
      <c r="H35" s="6" t="s">
        <v>62</v>
      </c>
    </row>
    <row r="36" customFormat="false" ht="15" hidden="false" customHeight="true" outlineLevel="0" collapsed="false">
      <c r="A36" s="7" t="s">
        <v>63</v>
      </c>
      <c r="D36" s="8" t="n">
        <v>0.14</v>
      </c>
      <c r="E36" s="8" t="n">
        <v>0.14</v>
      </c>
      <c r="F36" s="8" t="n">
        <v>0.125</v>
      </c>
      <c r="G36" s="8" t="n">
        <v>0.1</v>
      </c>
      <c r="H36" s="8" t="n">
        <v>0.07</v>
      </c>
      <c r="I36" s="7" t="s">
        <v>64</v>
      </c>
    </row>
    <row r="37" customFormat="false" ht="15" hidden="false" customHeight="true" outlineLevel="0" collapsed="false">
      <c r="A37" s="7" t="s">
        <v>65</v>
      </c>
      <c r="D37" s="8" t="n">
        <v>0.2</v>
      </c>
      <c r="E37" s="8" t="n">
        <v>0.2</v>
      </c>
      <c r="F37" s="8" t="n">
        <v>0.2</v>
      </c>
      <c r="G37" s="8" t="n">
        <v>0.2</v>
      </c>
      <c r="H37" s="8" t="n">
        <v>0.2</v>
      </c>
      <c r="I37" s="7" t="s">
        <v>64</v>
      </c>
    </row>
    <row r="38" customFormat="false" ht="15" hidden="false" customHeight="true" outlineLevel="0" collapsed="false">
      <c r="A38" s="7" t="s">
        <v>66</v>
      </c>
      <c r="D38" s="8" t="n">
        <v>2.4</v>
      </c>
      <c r="E38" s="8" t="n">
        <v>2.4</v>
      </c>
      <c r="F38" s="8" t="n">
        <v>2.4</v>
      </c>
      <c r="G38" s="8" t="n">
        <v>2.4</v>
      </c>
      <c r="H38" s="8" t="n">
        <v>2.4</v>
      </c>
      <c r="I38" s="7" t="s">
        <v>67</v>
      </c>
    </row>
    <row r="39" customFormat="false" ht="15" hidden="false" customHeight="true" outlineLevel="0" collapsed="false">
      <c r="A39" s="7" t="s">
        <v>68</v>
      </c>
      <c r="D39" s="8" t="n">
        <v>0.4</v>
      </c>
      <c r="E39" s="8" t="n">
        <v>0.4</v>
      </c>
      <c r="F39" s="8" t="n">
        <v>0.4</v>
      </c>
      <c r="G39" s="8" t="n">
        <v>0.4</v>
      </c>
      <c r="H39" s="8" t="n">
        <v>0.4</v>
      </c>
      <c r="I39" s="7" t="s">
        <v>64</v>
      </c>
    </row>
    <row r="40" customFormat="false" ht="15" hidden="false" customHeight="true" outlineLevel="0" collapsed="false">
      <c r="A40" s="7" t="s">
        <v>69</v>
      </c>
      <c r="D40" s="16" t="n">
        <v>705.229319748866</v>
      </c>
      <c r="E40" s="16" t="n">
        <v>803.961424513707</v>
      </c>
      <c r="F40" s="16" t="n">
        <v>867.438753154676</v>
      </c>
      <c r="G40" s="16" t="n">
        <v>922.376540854473</v>
      </c>
      <c r="H40" s="16" t="n">
        <v>952.910384965518</v>
      </c>
      <c r="I40" s="7" t="s">
        <v>70</v>
      </c>
    </row>
    <row r="41" customFormat="false" ht="15" hidden="false" customHeight="true" outlineLevel="0" collapsed="false">
      <c r="A41" s="7" t="s">
        <v>71</v>
      </c>
      <c r="D41" s="9" t="n">
        <v>0.14</v>
      </c>
      <c r="E41" s="9" t="n">
        <v>0.14</v>
      </c>
      <c r="F41" s="9" t="n">
        <v>0.15</v>
      </c>
      <c r="G41" s="9" t="n">
        <v>0.1525</v>
      </c>
      <c r="H41" s="9" t="n">
        <v>0.155</v>
      </c>
      <c r="I41" s="7" t="s">
        <v>72</v>
      </c>
    </row>
    <row r="42" customFormat="false" ht="15" hidden="false" customHeight="true" outlineLevel="0" collapsed="false">
      <c r="A42" s="7" t="s">
        <v>73</v>
      </c>
      <c r="D42" s="10" t="n">
        <f aca="false">D40/Proyeccion!D8</f>
        <v>0.156401232817064</v>
      </c>
      <c r="E42" s="10" t="n">
        <f aca="false">E40/Proyeccion!E8</f>
        <v>0.156401232817064</v>
      </c>
      <c r="F42" s="10" t="n">
        <f aca="false">F40/Proyeccion!F8</f>
        <v>0.15</v>
      </c>
      <c r="G42" s="10" t="n">
        <f aca="false">G40/Proyeccion!G8</f>
        <v>0.145</v>
      </c>
      <c r="H42" s="10" t="n">
        <f aca="false">H40/Proyeccion!H8</f>
        <v>0.14</v>
      </c>
      <c r="I42" s="7" t="s">
        <v>74</v>
      </c>
    </row>
    <row r="44" customFormat="false" ht="15" hidden="false" customHeight="true" outlineLevel="0" collapsed="false">
      <c r="A44" s="6" t="s">
        <v>75</v>
      </c>
    </row>
    <row r="45" customFormat="false" ht="15" hidden="false" customHeight="true" outlineLevel="0" collapsed="false">
      <c r="A45" s="7" t="s">
        <v>76</v>
      </c>
      <c r="C45" s="17" t="n">
        <f aca="false">Historicos!$E$194</f>
        <v>0.0750472987891317</v>
      </c>
      <c r="I45" s="7" t="s">
        <v>77</v>
      </c>
    </row>
    <row r="46" customFormat="false" ht="15" hidden="false" customHeight="true" outlineLevel="0" collapsed="false">
      <c r="A46" s="7" t="s">
        <v>78</v>
      </c>
      <c r="C46" s="18" t="n">
        <f aca="false">Historicos!$E$195</f>
        <v>41.6673186883831</v>
      </c>
      <c r="I46" s="7" t="s">
        <v>79</v>
      </c>
    </row>
    <row r="47" customFormat="false" ht="15" hidden="false" customHeight="true" outlineLevel="0" collapsed="false">
      <c r="A47" s="7" t="s">
        <v>80</v>
      </c>
      <c r="C47" s="18" t="n">
        <f aca="false">Historicos!$E$196</f>
        <v>154.360212300958</v>
      </c>
      <c r="I47" s="7" t="s">
        <v>81</v>
      </c>
    </row>
    <row r="48" customFormat="false" ht="15" hidden="false" customHeight="true" outlineLevel="0" collapsed="false">
      <c r="A48" s="7" t="s">
        <v>82</v>
      </c>
      <c r="C48" s="17" t="n">
        <f aca="false">Historicos!$E$197</f>
        <v>0.0138067509544899</v>
      </c>
      <c r="I48" s="7" t="s">
        <v>83</v>
      </c>
    </row>
    <row r="49" customFormat="false" ht="15" hidden="false" customHeight="true" outlineLevel="0" collapsed="false">
      <c r="A49" s="7" t="s">
        <v>84</v>
      </c>
      <c r="C49" s="18" t="n">
        <f aca="false">Historicos!$E$198</f>
        <v>35.5364897898237</v>
      </c>
      <c r="I49" s="7" t="s">
        <v>85</v>
      </c>
    </row>
    <row r="50" customFormat="false" ht="15" hidden="false" customHeight="true" outlineLevel="0" collapsed="false">
      <c r="A50" s="7" t="s">
        <v>86</v>
      </c>
      <c r="C50" s="18" t="n">
        <f aca="false">Historicos!$E$199</f>
        <v>14.0121369868444</v>
      </c>
      <c r="I50" s="7" t="s">
        <v>87</v>
      </c>
    </row>
    <row r="51" customFormat="false" ht="15" hidden="false" customHeight="true" outlineLevel="0" collapsed="false">
      <c r="A51" s="7" t="s">
        <v>88</v>
      </c>
      <c r="C51" s="18" t="n">
        <f aca="false">Historicos!$E$200</f>
        <v>6.84505830201274</v>
      </c>
      <c r="I51" s="7" t="s">
        <v>89</v>
      </c>
    </row>
    <row r="53" customFormat="false" ht="15" hidden="false" customHeight="true" outlineLevel="0" collapsed="false">
      <c r="A53" s="4" t="s">
        <v>90</v>
      </c>
      <c r="B53" s="5"/>
      <c r="C53" s="5"/>
      <c r="D53" s="5"/>
      <c r="E53" s="5"/>
      <c r="F53" s="5"/>
      <c r="G53" s="5"/>
      <c r="H53" s="5"/>
      <c r="I53" s="5"/>
      <c r="J53" s="5"/>
    </row>
    <row r="54" customFormat="false" ht="15" hidden="false" customHeight="true" outlineLevel="0" collapsed="false">
      <c r="A54" s="6" t="s">
        <v>57</v>
      </c>
      <c r="D54" s="6" t="s">
        <v>58</v>
      </c>
      <c r="E54" s="6" t="s">
        <v>59</v>
      </c>
      <c r="F54" s="6" t="s">
        <v>60</v>
      </c>
      <c r="G54" s="6" t="s">
        <v>61</v>
      </c>
      <c r="H54" s="6" t="s">
        <v>62</v>
      </c>
    </row>
    <row r="55" customFormat="false" ht="15" hidden="false" customHeight="true" outlineLevel="0" collapsed="false">
      <c r="A55" s="7" t="s">
        <v>91</v>
      </c>
      <c r="D55" s="8" t="n">
        <v>0.2</v>
      </c>
      <c r="E55" s="8" t="n">
        <v>0.2</v>
      </c>
      <c r="F55" s="8" t="n">
        <v>0.2</v>
      </c>
      <c r="G55" s="8" t="n">
        <v>0.2</v>
      </c>
      <c r="H55" s="8" t="n">
        <v>0.2</v>
      </c>
      <c r="I55" s="7" t="s">
        <v>92</v>
      </c>
    </row>
    <row r="56" customFormat="false" ht="15" hidden="false" customHeight="true" outlineLevel="0" collapsed="false">
      <c r="A56" s="7" t="s">
        <v>93</v>
      </c>
      <c r="D56" s="8" t="n">
        <v>0</v>
      </c>
      <c r="E56" s="8" t="n">
        <v>0.07</v>
      </c>
      <c r="F56" s="8" t="n">
        <v>0.12</v>
      </c>
      <c r="G56" s="8" t="n">
        <v>0.222</v>
      </c>
      <c r="H56" s="8" t="n">
        <v>0.3</v>
      </c>
      <c r="I56" s="7" t="s">
        <v>94</v>
      </c>
    </row>
    <row r="57" customFormat="false" ht="15" hidden="false" customHeight="true" outlineLevel="0" collapsed="false">
      <c r="A57" s="7" t="s">
        <v>95</v>
      </c>
      <c r="D57" s="19" t="n">
        <v>0.3</v>
      </c>
      <c r="E57" s="19" t="n">
        <v>0.5</v>
      </c>
      <c r="F57" s="19" t="n">
        <v>0.7</v>
      </c>
      <c r="G57" s="19" t="n">
        <v>1</v>
      </c>
      <c r="H57" s="19" t="n">
        <v>1.2</v>
      </c>
      <c r="I57" s="7" t="s">
        <v>96</v>
      </c>
    </row>
    <row r="58" customFormat="false" ht="15" hidden="false" customHeight="true" outlineLevel="0" collapsed="false">
      <c r="A58" s="7" t="s">
        <v>97</v>
      </c>
      <c r="D58" s="20" t="n">
        <v>859</v>
      </c>
      <c r="E58" s="20" t="n">
        <v>885</v>
      </c>
      <c r="F58" s="20" t="n">
        <v>911</v>
      </c>
      <c r="G58" s="20" t="n">
        <v>939</v>
      </c>
      <c r="H58" s="20" t="n">
        <v>967</v>
      </c>
      <c r="I58" s="7" t="s">
        <v>96</v>
      </c>
    </row>
    <row r="59" customFormat="false" ht="15" hidden="false" customHeight="true" outlineLevel="0" collapsed="false">
      <c r="A59" s="7" t="s">
        <v>98</v>
      </c>
      <c r="D59" s="21" t="n">
        <v>0.0506</v>
      </c>
      <c r="E59" s="21" t="n">
        <v>0.0506</v>
      </c>
      <c r="F59" s="21" t="n">
        <v>0.0506</v>
      </c>
      <c r="G59" s="21" t="n">
        <v>0.0506</v>
      </c>
      <c r="H59" s="21" t="n">
        <v>0.0506</v>
      </c>
      <c r="I59" s="7" t="s">
        <v>96</v>
      </c>
    </row>
    <row r="61" customFormat="false" ht="15" hidden="false" customHeight="true" outlineLevel="0" collapsed="false">
      <c r="A61" s="4" t="s">
        <v>99</v>
      </c>
      <c r="B61" s="5"/>
      <c r="C61" s="5"/>
      <c r="D61" s="5"/>
      <c r="E61" s="5"/>
      <c r="F61" s="5"/>
      <c r="G61" s="5"/>
      <c r="H61" s="5"/>
      <c r="I61" s="5"/>
      <c r="J61" s="5"/>
    </row>
    <row r="62" customFormat="false" ht="15" hidden="false" customHeight="true" outlineLevel="0" collapsed="false">
      <c r="C62" s="6" t="s">
        <v>100</v>
      </c>
      <c r="D62" s="6" t="s">
        <v>101</v>
      </c>
      <c r="E62" s="6" t="s">
        <v>102</v>
      </c>
      <c r="F62" s="6" t="s">
        <v>103</v>
      </c>
    </row>
    <row r="63" customFormat="false" ht="15" hidden="false" customHeight="true" outlineLevel="0" collapsed="false">
      <c r="A63" s="7" t="s">
        <v>104</v>
      </c>
      <c r="C63" s="8" t="n">
        <v>0</v>
      </c>
      <c r="D63" s="8" t="n">
        <v>-0.03</v>
      </c>
      <c r="E63" s="8" t="n">
        <v>0</v>
      </c>
      <c r="F63" s="8" t="n">
        <v>-0.03</v>
      </c>
      <c r="I63" s="7" t="s">
        <v>105</v>
      </c>
    </row>
    <row r="64" customFormat="false" ht="15" hidden="false" customHeight="true" outlineLevel="0" collapsed="false">
      <c r="A64" s="7" t="s">
        <v>106</v>
      </c>
      <c r="C64" s="8" t="n">
        <v>0</v>
      </c>
      <c r="D64" s="8" t="n">
        <v>0</v>
      </c>
      <c r="E64" s="8" t="n">
        <v>0.02</v>
      </c>
      <c r="F64" s="8" t="n">
        <v>0.02</v>
      </c>
      <c r="I64" s="7" t="s">
        <v>107</v>
      </c>
    </row>
    <row r="65" customFormat="false" ht="15" hidden="false" customHeight="true" outlineLevel="0" collapsed="false">
      <c r="A65" s="7" t="s">
        <v>108</v>
      </c>
      <c r="C65" s="8" t="n">
        <v>0</v>
      </c>
      <c r="D65" s="8" t="n">
        <v>0</v>
      </c>
      <c r="E65" s="8" t="n">
        <v>0</v>
      </c>
      <c r="F65" s="8" t="n">
        <v>0</v>
      </c>
      <c r="I65" s="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4"/>
    <col collapsed="false" customWidth="true" hidden="false" outlineLevel="0" max="5" min="3" style="1" width="12"/>
    <col collapsed="false" customWidth="true" hidden="false" outlineLevel="0" max="6" min="6" style="1" width="4"/>
    <col collapsed="false" customWidth="true" hidden="false" outlineLevel="0" max="7" min="7" style="1" width="14"/>
    <col collapsed="false" customWidth="true" hidden="false" outlineLevel="0" max="8" min="8" style="1" width="60"/>
  </cols>
  <sheetData>
    <row r="1" customFormat="false" ht="15.75" hidden="false" customHeight="true" outlineLevel="0" collapsed="false">
      <c r="A1" s="2" t="s">
        <v>110</v>
      </c>
    </row>
    <row r="3" customFormat="false" ht="15" hidden="false" customHeight="true" outlineLevel="0" collapsed="false">
      <c r="A3" s="4" t="s">
        <v>111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true" outlineLevel="0" collapsed="false">
      <c r="C4" s="6" t="s">
        <v>112</v>
      </c>
      <c r="D4" s="6" t="s">
        <v>113</v>
      </c>
      <c r="E4" s="6" t="s">
        <v>114</v>
      </c>
    </row>
    <row r="5" customFormat="false" ht="15" hidden="false" customHeight="true" outlineLevel="0" collapsed="false">
      <c r="A5" s="7" t="s">
        <v>115</v>
      </c>
      <c r="C5" s="16" t="n">
        <v>2827.022</v>
      </c>
      <c r="D5" s="16" t="n">
        <v>3214.41</v>
      </c>
      <c r="E5" s="16" t="n">
        <v>3679.237</v>
      </c>
    </row>
    <row r="6" customFormat="false" ht="15" hidden="false" customHeight="true" outlineLevel="0" collapsed="false">
      <c r="A6" s="7" t="s">
        <v>116</v>
      </c>
      <c r="C6" s="16" t="n">
        <v>203.743</v>
      </c>
      <c r="D6" s="16" t="n">
        <v>258.745</v>
      </c>
      <c r="E6" s="16" t="n">
        <v>267.027</v>
      </c>
    </row>
    <row r="7" customFormat="false" ht="15" hidden="false" customHeight="true" outlineLevel="0" collapsed="false">
      <c r="A7" s="6" t="s">
        <v>117</v>
      </c>
      <c r="C7" s="22" t="n">
        <f aca="false">C5+C6</f>
        <v>3030.765</v>
      </c>
      <c r="D7" s="22" t="n">
        <f aca="false">D5+D6</f>
        <v>3473.155</v>
      </c>
      <c r="E7" s="22" t="n">
        <f aca="false">E5+E6</f>
        <v>3946.264</v>
      </c>
    </row>
    <row r="8" customFormat="false" ht="15" hidden="false" customHeight="true" outlineLevel="0" collapsed="false">
      <c r="A8" s="7" t="s">
        <v>118</v>
      </c>
      <c r="C8" s="16" t="n">
        <v>604.093</v>
      </c>
      <c r="D8" s="16" t="n">
        <v>639.683</v>
      </c>
      <c r="E8" s="16" t="n">
        <v>717.075</v>
      </c>
    </row>
    <row r="9" customFormat="false" ht="15" hidden="false" customHeight="true" outlineLevel="0" collapsed="false">
      <c r="A9" s="7" t="s">
        <v>119</v>
      </c>
      <c r="C9" s="16" t="n">
        <v>511.939</v>
      </c>
      <c r="D9" s="16" t="n">
        <v>568.903</v>
      </c>
      <c r="E9" s="16" t="n">
        <v>640.225</v>
      </c>
    </row>
    <row r="10" customFormat="false" ht="15" hidden="false" customHeight="true" outlineLevel="0" collapsed="false">
      <c r="A10" s="7" t="s">
        <v>120</v>
      </c>
      <c r="C10" s="16" t="n">
        <v>1217.709</v>
      </c>
      <c r="D10" s="16" t="n">
        <v>1399.561</v>
      </c>
      <c r="E10" s="16" t="n">
        <v>1555.639</v>
      </c>
    </row>
    <row r="11" customFormat="false" ht="15" hidden="false" customHeight="true" outlineLevel="0" collapsed="false">
      <c r="A11" s="6" t="s">
        <v>121</v>
      </c>
      <c r="C11" s="22" t="n">
        <f aca="false">C7-C8-C9-C10</f>
        <v>697.024</v>
      </c>
      <c r="D11" s="22" t="n">
        <f aca="false">D7-D8-D9-D10</f>
        <v>865.008</v>
      </c>
      <c r="E11" s="22" t="n">
        <f aca="false">E7-E8-E9-E10</f>
        <v>1033.325</v>
      </c>
    </row>
    <row r="12" customFormat="false" ht="15" hidden="false" customHeight="true" outlineLevel="0" collapsed="false">
      <c r="A12" s="7" t="s">
        <v>69</v>
      </c>
      <c r="C12" s="16" t="n">
        <v>490.093</v>
      </c>
      <c r="D12" s="16" t="n">
        <v>555.525</v>
      </c>
      <c r="E12" s="16" t="n">
        <v>582.269</v>
      </c>
    </row>
    <row r="13" customFormat="false" ht="15" hidden="false" customHeight="true" outlineLevel="0" collapsed="false">
      <c r="A13" s="6" t="s">
        <v>122</v>
      </c>
      <c r="C13" s="22" t="n">
        <f aca="false">C11-C12</f>
        <v>206.931</v>
      </c>
      <c r="D13" s="22" t="n">
        <f aca="false">D11-D12</f>
        <v>309.483</v>
      </c>
      <c r="E13" s="22" t="n">
        <f aca="false">E11-E12</f>
        <v>451.056000000001</v>
      </c>
    </row>
    <row r="14" customFormat="false" ht="15" hidden="false" customHeight="true" outlineLevel="0" collapsed="false">
      <c r="A14" s="7" t="s">
        <v>123</v>
      </c>
      <c r="C14" s="16" t="n">
        <v>84.867</v>
      </c>
      <c r="D14" s="16" t="n">
        <v>93.674</v>
      </c>
      <c r="E14" s="16" t="n">
        <v>84.679</v>
      </c>
    </row>
    <row r="15" customFormat="false" ht="15" hidden="false" customHeight="true" outlineLevel="0" collapsed="false">
      <c r="A15" s="7" t="s">
        <v>124</v>
      </c>
      <c r="C15" s="16" t="n">
        <v>66.719</v>
      </c>
      <c r="D15" s="16" t="n">
        <v>93.119</v>
      </c>
      <c r="E15" s="16" t="n">
        <v>90.033</v>
      </c>
    </row>
    <row r="16" customFormat="false" ht="15" hidden="false" customHeight="true" outlineLevel="0" collapsed="false">
      <c r="A16" s="7" t="s">
        <v>125</v>
      </c>
      <c r="C16" s="16" t="n">
        <v>18.063</v>
      </c>
      <c r="D16" s="16" t="n">
        <v>50.84</v>
      </c>
      <c r="E16" s="16" t="n">
        <v>83.13</v>
      </c>
    </row>
    <row r="17" customFormat="false" ht="15" hidden="false" customHeight="true" outlineLevel="0" collapsed="false">
      <c r="A17" s="7" t="s">
        <v>126</v>
      </c>
      <c r="C17" s="16" t="n">
        <v>54.501</v>
      </c>
      <c r="D17" s="16" t="n">
        <v>-46.63</v>
      </c>
      <c r="E17" s="16" t="n">
        <v>6.961</v>
      </c>
    </row>
    <row r="18" customFormat="false" ht="15" hidden="false" customHeight="true" outlineLevel="0" collapsed="false">
      <c r="A18" s="7" t="s">
        <v>127</v>
      </c>
      <c r="C18" s="23" t="n">
        <f aca="false">C13-C14+C15+C16+C17</f>
        <v>261.347</v>
      </c>
      <c r="D18" s="23" t="n">
        <f aca="false">D13-D14+D15+D16+D17</f>
        <v>313.138</v>
      </c>
      <c r="E18" s="23" t="n">
        <f aca="false">E13-E14+E15+E16+E17</f>
        <v>546.501000000001</v>
      </c>
    </row>
    <row r="19" customFormat="false" ht="15" hidden="false" customHeight="true" outlineLevel="0" collapsed="false">
      <c r="A19" s="7" t="s">
        <v>128</v>
      </c>
      <c r="C19" s="16" t="n">
        <v>95.856</v>
      </c>
      <c r="D19" s="16" t="n">
        <v>120.604</v>
      </c>
      <c r="E19" s="16" t="n">
        <v>216.711</v>
      </c>
    </row>
    <row r="20" customFormat="false" ht="15" hidden="false" customHeight="true" outlineLevel="0" collapsed="false">
      <c r="A20" s="7" t="s">
        <v>129</v>
      </c>
      <c r="C20" s="23" t="n">
        <f aca="false">C18-C19</f>
        <v>165.491</v>
      </c>
      <c r="D20" s="23" t="n">
        <f aca="false">D18-D19</f>
        <v>192.534</v>
      </c>
      <c r="E20" s="23" t="n">
        <f aca="false">E18-E19</f>
        <v>329.790000000001</v>
      </c>
    </row>
    <row r="21" customFormat="false" ht="15" hidden="false" customHeight="true" outlineLevel="0" collapsed="false">
      <c r="A21" s="7" t="s">
        <v>130</v>
      </c>
      <c r="C21" s="16" t="n">
        <v>10.54</v>
      </c>
      <c r="D21" s="16" t="n">
        <v>13.044</v>
      </c>
      <c r="E21" s="16" t="n">
        <v>15.056</v>
      </c>
    </row>
    <row r="22" customFormat="false" ht="15" hidden="false" customHeight="true" outlineLevel="0" collapsed="false">
      <c r="A22" s="6" t="s">
        <v>131</v>
      </c>
      <c r="C22" s="22" t="n">
        <f aca="false">C20-C21</f>
        <v>154.951</v>
      </c>
      <c r="D22" s="22" t="n">
        <f aca="false">D20-D21</f>
        <v>179.49</v>
      </c>
      <c r="E22" s="22" t="n">
        <f aca="false">E20-E21</f>
        <v>314.734000000001</v>
      </c>
    </row>
    <row r="24" customFormat="false" ht="15" hidden="false" customHeight="true" outlineLevel="0" collapsed="false">
      <c r="A24" s="6" t="s">
        <v>132</v>
      </c>
      <c r="G24" s="6" t="s">
        <v>133</v>
      </c>
    </row>
    <row r="25" customFormat="false" ht="15" hidden="false" customHeight="true" outlineLevel="0" collapsed="false">
      <c r="A25" s="7" t="s">
        <v>134</v>
      </c>
      <c r="C25" s="16" t="n">
        <v>3030.8</v>
      </c>
      <c r="D25" s="16" t="n">
        <v>3473.2</v>
      </c>
      <c r="E25" s="16" t="n">
        <v>3946.3</v>
      </c>
      <c r="G25" s="23" t="n">
        <f aca="false">MAX(ABS(C25-C7),ABS(D25-D7),ABS(E25-E7))</f>
        <v>0.0450000000000728</v>
      </c>
      <c r="H25" s="7" t="str">
        <f aca="false">IF(G25&lt;0.06,"Cuadra (redondeo)","NO CUADRA")</f>
        <v>Cuadra (redondeo)</v>
      </c>
    </row>
    <row r="26" customFormat="false" ht="15" hidden="false" customHeight="true" outlineLevel="0" collapsed="false">
      <c r="A26" s="7" t="s">
        <v>135</v>
      </c>
      <c r="C26" s="16" t="n">
        <v>697</v>
      </c>
      <c r="D26" s="16" t="n">
        <v>865</v>
      </c>
      <c r="E26" s="16" t="n">
        <v>1033.3</v>
      </c>
      <c r="G26" s="23" t="n">
        <f aca="false">MAX(ABS(C26-C11),ABS(D26-D11),ABS(E26-E11))</f>
        <v>0.0250000000005457</v>
      </c>
      <c r="H26" s="7" t="str">
        <f aca="false">IF(G26&lt;0.06,"Cuadra (redondeo)","NO CUADRA")</f>
        <v>Cuadra (redondeo)</v>
      </c>
    </row>
    <row r="27" customFormat="false" ht="15" hidden="false" customHeight="true" outlineLevel="0" collapsed="false">
      <c r="A27" s="7" t="s">
        <v>136</v>
      </c>
      <c r="C27" s="16" t="n">
        <v>206.9</v>
      </c>
      <c r="D27" s="16" t="n">
        <v>309.5</v>
      </c>
      <c r="E27" s="16" t="n">
        <v>451.1</v>
      </c>
      <c r="G27" s="23" t="n">
        <f aca="false">MAX(ABS(C27-C13),ABS(D27-D13),ABS(E27-E13))</f>
        <v>0.043999999999528</v>
      </c>
      <c r="H27" s="7" t="str">
        <f aca="false">IF(G27&lt;0.06,"Cuadra (redondeo)","NO CUADRA")</f>
        <v>Cuadra (redondeo)</v>
      </c>
    </row>
    <row r="28" customFormat="false" ht="15" hidden="false" customHeight="true" outlineLevel="0" collapsed="false">
      <c r="A28" s="7" t="s">
        <v>137</v>
      </c>
      <c r="C28" s="16" t="n">
        <v>261.3</v>
      </c>
      <c r="D28" s="16" t="n">
        <v>313.1</v>
      </c>
      <c r="E28" s="16" t="n">
        <v>546.5</v>
      </c>
      <c r="G28" s="23" t="n">
        <f aca="false">MAX(ABS(C28-C18),ABS(D28-D18),ABS(E28-E18))</f>
        <v>0.0469999999997981</v>
      </c>
      <c r="H28" s="7" t="str">
        <f aca="false">IF(G28&lt;0.06,"Cuadra (redondeo)","NO CUADRA")</f>
        <v>Cuadra (redondeo)</v>
      </c>
    </row>
    <row r="29" customFormat="false" ht="15" hidden="false" customHeight="true" outlineLevel="0" collapsed="false">
      <c r="A29" s="7" t="s">
        <v>138</v>
      </c>
      <c r="C29" s="16" t="n">
        <v>165.5</v>
      </c>
      <c r="D29" s="16" t="n">
        <v>192.5</v>
      </c>
      <c r="E29" s="16" t="n">
        <v>329.8</v>
      </c>
      <c r="G29" s="23" t="n">
        <f aca="false">MAX(ABS(C29-C20),ABS(D29-D20),ABS(E29-E20))</f>
        <v>0.0339999999995939</v>
      </c>
      <c r="H29" s="7" t="str">
        <f aca="false">IF(G29&lt;0.06,"Cuadra (redondeo)","NO CUADRA")</f>
        <v>Cuadra (redondeo)</v>
      </c>
    </row>
    <row r="30" customFormat="false" ht="15" hidden="false" customHeight="true" outlineLevel="0" collapsed="false">
      <c r="A30" s="7" t="s">
        <v>139</v>
      </c>
      <c r="C30" s="16" t="n">
        <v>155</v>
      </c>
      <c r="D30" s="16" t="n">
        <v>179.5</v>
      </c>
      <c r="E30" s="16" t="n">
        <v>314.7</v>
      </c>
      <c r="G30" s="23" t="n">
        <f aca="false">MAX(ABS(C30-C22),ABS(D30-D22),ABS(E30-E22))</f>
        <v>0.0490000000001771</v>
      </c>
      <c r="H30" s="7" t="str">
        <f aca="false">IF(G30&lt;0.06,"Cuadra (redondeo)","NO CUADRA")</f>
        <v>Cuadra (redondeo)</v>
      </c>
    </row>
    <row r="31" customFormat="false" ht="15" hidden="false" customHeight="true" outlineLevel="0" collapsed="false">
      <c r="A31" s="7" t="s">
        <v>140</v>
      </c>
      <c r="G31" s="23" t="n">
        <f aca="false">MAX(G25:G30)</f>
        <v>0.0490000000001771</v>
      </c>
    </row>
    <row r="33" customFormat="false" ht="15" hidden="false" customHeight="true" outlineLevel="0" collapsed="false">
      <c r="A33" s="4" t="s">
        <v>141</v>
      </c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true" outlineLevel="0" collapsed="false">
      <c r="C34" s="6" t="s">
        <v>112</v>
      </c>
      <c r="D34" s="6" t="s">
        <v>113</v>
      </c>
      <c r="E34" s="6" t="s">
        <v>114</v>
      </c>
    </row>
    <row r="35" customFormat="false" ht="15" hidden="false" customHeight="true" outlineLevel="0" collapsed="false">
      <c r="A35" s="7" t="s">
        <v>142</v>
      </c>
      <c r="C35" s="16" t="n">
        <v>29.003</v>
      </c>
      <c r="D35" s="16" t="n">
        <v>32.912</v>
      </c>
      <c r="E35" s="16" t="n">
        <v>204.533</v>
      </c>
    </row>
    <row r="36" customFormat="false" ht="15" hidden="false" customHeight="true" outlineLevel="0" collapsed="false">
      <c r="A36" s="7" t="s">
        <v>143</v>
      </c>
      <c r="C36" s="16" t="n">
        <v>0</v>
      </c>
      <c r="D36" s="16" t="n">
        <v>249.039</v>
      </c>
      <c r="E36" s="16" t="n">
        <v>16.352</v>
      </c>
    </row>
    <row r="37" customFormat="false" ht="15" hidden="false" customHeight="true" outlineLevel="0" collapsed="false">
      <c r="A37" s="7" t="s">
        <v>144</v>
      </c>
      <c r="C37" s="16" t="n">
        <v>362.359</v>
      </c>
      <c r="D37" s="16" t="n">
        <v>407.438</v>
      </c>
      <c r="E37" s="16" t="n">
        <v>435.497</v>
      </c>
    </row>
    <row r="38" customFormat="false" ht="15" hidden="false" customHeight="true" outlineLevel="0" collapsed="false">
      <c r="A38" s="7" t="s">
        <v>145</v>
      </c>
      <c r="C38" s="16" t="n">
        <v>92.748</v>
      </c>
      <c r="D38" s="16" t="n">
        <v>117.189</v>
      </c>
      <c r="E38" s="16" t="n">
        <v>100.99</v>
      </c>
    </row>
    <row r="39" customFormat="false" ht="15" hidden="false" customHeight="true" outlineLevel="0" collapsed="false">
      <c r="A39" s="7" t="s">
        <v>146</v>
      </c>
      <c r="C39" s="16" t="n">
        <v>32.068</v>
      </c>
      <c r="D39" s="16" t="n">
        <v>34.955</v>
      </c>
      <c r="E39" s="16" t="n">
        <v>41.588</v>
      </c>
    </row>
    <row r="40" customFormat="false" ht="15" hidden="false" customHeight="true" outlineLevel="0" collapsed="false">
      <c r="A40" s="7" t="s">
        <v>147</v>
      </c>
      <c r="C40" s="16" t="n">
        <v>8.218</v>
      </c>
      <c r="D40" s="16" t="n">
        <v>0</v>
      </c>
      <c r="E40" s="16" t="n">
        <v>18.566</v>
      </c>
    </row>
    <row r="41" customFormat="false" ht="15" hidden="false" customHeight="true" outlineLevel="0" collapsed="false">
      <c r="A41" s="7" t="s">
        <v>148</v>
      </c>
      <c r="C41" s="16" t="n">
        <v>15.489</v>
      </c>
      <c r="D41" s="16" t="n">
        <v>13.385</v>
      </c>
      <c r="E41" s="16" t="n">
        <v>16.227</v>
      </c>
    </row>
    <row r="42" customFormat="false" ht="15" hidden="false" customHeight="true" outlineLevel="0" collapsed="false">
      <c r="A42" s="6" t="s">
        <v>149</v>
      </c>
      <c r="C42" s="22" t="n">
        <f aca="false">SUM(C35:C41)</f>
        <v>539.885</v>
      </c>
      <c r="D42" s="22" t="n">
        <f aca="false">SUM(D35:D41)</f>
        <v>854.918</v>
      </c>
      <c r="E42" s="22" t="n">
        <f aca="false">SUM(E35:E41)</f>
        <v>833.753</v>
      </c>
    </row>
    <row r="43" customFormat="false" ht="15" hidden="false" customHeight="true" outlineLevel="0" collapsed="false">
      <c r="A43" s="7" t="s">
        <v>150</v>
      </c>
      <c r="C43" s="16" t="n">
        <v>2553.029</v>
      </c>
      <c r="D43" s="16" t="n">
        <v>2628.848</v>
      </c>
      <c r="E43" s="16" t="n">
        <v>2595.096</v>
      </c>
    </row>
    <row r="44" customFormat="false" ht="15" hidden="false" customHeight="true" outlineLevel="0" collapsed="false">
      <c r="A44" s="7" t="s">
        <v>151</v>
      </c>
      <c r="C44" s="16" t="n">
        <v>1362.263</v>
      </c>
      <c r="D44" s="16" t="n">
        <v>1494.327</v>
      </c>
      <c r="E44" s="16" t="n">
        <v>1482.446</v>
      </c>
    </row>
    <row r="45" customFormat="false" ht="15" hidden="false" customHeight="true" outlineLevel="0" collapsed="false">
      <c r="A45" s="7" t="s">
        <v>152</v>
      </c>
      <c r="C45" s="16" t="n">
        <v>47.649</v>
      </c>
      <c r="D45" s="16" t="n">
        <v>26.196</v>
      </c>
      <c r="E45" s="16" t="n">
        <v>15.375</v>
      </c>
    </row>
    <row r="46" customFormat="false" ht="15" hidden="false" customHeight="true" outlineLevel="0" collapsed="false">
      <c r="A46" s="7" t="s">
        <v>153</v>
      </c>
      <c r="C46" s="16" t="n">
        <v>225.387</v>
      </c>
      <c r="D46" s="16" t="n">
        <v>4.873</v>
      </c>
      <c r="E46" s="16" t="n">
        <v>0</v>
      </c>
    </row>
    <row r="47" customFormat="false" ht="15" hidden="false" customHeight="true" outlineLevel="0" collapsed="false">
      <c r="A47" s="7" t="s">
        <v>154</v>
      </c>
      <c r="C47" s="16" t="n">
        <v>172.093</v>
      </c>
      <c r="D47" s="16" t="n">
        <v>150.325</v>
      </c>
      <c r="E47" s="16" t="n">
        <v>157.693</v>
      </c>
    </row>
    <row r="48" customFormat="false" ht="15" hidden="false" customHeight="true" outlineLevel="0" collapsed="false">
      <c r="A48" s="7" t="s">
        <v>155</v>
      </c>
      <c r="C48" s="16" t="n">
        <v>4.707</v>
      </c>
      <c r="D48" s="16" t="n">
        <v>4.541</v>
      </c>
      <c r="E48" s="16" t="n">
        <v>4.422</v>
      </c>
    </row>
    <row r="49" customFormat="false" ht="15" hidden="false" customHeight="true" outlineLevel="0" collapsed="false">
      <c r="A49" s="7" t="s">
        <v>156</v>
      </c>
      <c r="C49" s="16" t="n">
        <v>481.235</v>
      </c>
      <c r="D49" s="16" t="n">
        <v>485.452</v>
      </c>
      <c r="E49" s="16" t="n">
        <v>491.316</v>
      </c>
    </row>
    <row r="50" customFormat="false" ht="15" hidden="false" customHeight="true" outlineLevel="0" collapsed="false">
      <c r="A50" s="7" t="s">
        <v>157</v>
      </c>
      <c r="C50" s="16" t="n">
        <v>29.985</v>
      </c>
      <c r="D50" s="16" t="n">
        <v>31.136</v>
      </c>
      <c r="E50" s="16" t="n">
        <v>31.773</v>
      </c>
    </row>
    <row r="51" customFormat="false" ht="15" hidden="false" customHeight="true" outlineLevel="0" collapsed="false">
      <c r="A51" s="6" t="s">
        <v>158</v>
      </c>
      <c r="C51" s="22" t="n">
        <f aca="false">C42+SUM(C43:C50)</f>
        <v>5416.233</v>
      </c>
      <c r="D51" s="22" t="n">
        <f aca="false">D42+SUM(D43:D50)</f>
        <v>5680.616</v>
      </c>
      <c r="E51" s="22" t="n">
        <f aca="false">E42+SUM(E43:E50)</f>
        <v>5611.874</v>
      </c>
    </row>
    <row r="52" customFormat="false" ht="15" hidden="false" customHeight="true" outlineLevel="0" collapsed="false">
      <c r="A52" s="7" t="s">
        <v>159</v>
      </c>
      <c r="C52" s="16" t="n">
        <v>254.116</v>
      </c>
      <c r="D52" s="16" t="n">
        <v>254.871</v>
      </c>
      <c r="E52" s="16" t="n">
        <v>260.791</v>
      </c>
    </row>
    <row r="53" customFormat="false" ht="15" hidden="false" customHeight="true" outlineLevel="0" collapsed="false">
      <c r="A53" s="7" t="s">
        <v>160</v>
      </c>
      <c r="C53" s="16" t="n">
        <v>111.407</v>
      </c>
      <c r="D53" s="16" t="n">
        <v>123.344</v>
      </c>
      <c r="E53" s="16" t="n">
        <v>143.445</v>
      </c>
    </row>
    <row r="54" customFormat="false" ht="15" hidden="false" customHeight="true" outlineLevel="0" collapsed="false">
      <c r="A54" s="7" t="s">
        <v>161</v>
      </c>
      <c r="C54" s="16" t="n">
        <v>42.865</v>
      </c>
      <c r="D54" s="16" t="n">
        <v>47.842</v>
      </c>
      <c r="E54" s="16" t="n">
        <v>59.224</v>
      </c>
    </row>
    <row r="55" customFormat="false" ht="15" hidden="false" customHeight="true" outlineLevel="0" collapsed="false">
      <c r="A55" s="7" t="s">
        <v>162</v>
      </c>
      <c r="C55" s="16" t="n">
        <v>36.748</v>
      </c>
      <c r="D55" s="16" t="n">
        <v>26.913</v>
      </c>
      <c r="E55" s="16" t="n">
        <v>43.105</v>
      </c>
    </row>
    <row r="56" customFormat="false" ht="15" hidden="false" customHeight="true" outlineLevel="0" collapsed="false">
      <c r="A56" s="7" t="s">
        <v>163</v>
      </c>
      <c r="C56" s="16" t="n">
        <v>0</v>
      </c>
      <c r="D56" s="16" t="n">
        <v>26.326</v>
      </c>
      <c r="E56" s="16" t="n">
        <v>0</v>
      </c>
    </row>
    <row r="57" customFormat="false" ht="15" hidden="false" customHeight="true" outlineLevel="0" collapsed="false">
      <c r="A57" s="7" t="s">
        <v>164</v>
      </c>
      <c r="C57" s="16" t="n">
        <v>135</v>
      </c>
      <c r="D57" s="16" t="n">
        <v>35</v>
      </c>
      <c r="E57" s="16" t="n">
        <v>0</v>
      </c>
    </row>
    <row r="58" customFormat="false" ht="15" hidden="false" customHeight="true" outlineLevel="0" collapsed="false">
      <c r="A58" s="7" t="s">
        <v>165</v>
      </c>
      <c r="C58" s="16" t="n">
        <v>0</v>
      </c>
      <c r="D58" s="16" t="n">
        <v>159.856</v>
      </c>
      <c r="E58" s="16" t="n">
        <v>0</v>
      </c>
    </row>
    <row r="59" customFormat="false" ht="15" hidden="false" customHeight="true" outlineLevel="0" collapsed="false">
      <c r="A59" s="7" t="s">
        <v>166</v>
      </c>
      <c r="C59" s="16" t="n">
        <v>0</v>
      </c>
      <c r="D59" s="16" t="n">
        <v>88.84</v>
      </c>
      <c r="E59" s="16" t="n">
        <v>0</v>
      </c>
    </row>
    <row r="60" customFormat="false" ht="15" hidden="false" customHeight="true" outlineLevel="0" collapsed="false">
      <c r="A60" s="7" t="s">
        <v>167</v>
      </c>
      <c r="C60" s="16" t="n">
        <v>82.585</v>
      </c>
      <c r="D60" s="16" t="n">
        <v>93.718</v>
      </c>
      <c r="E60" s="16" t="n">
        <v>97.678</v>
      </c>
    </row>
    <row r="61" customFormat="false" ht="15" hidden="false" customHeight="true" outlineLevel="0" collapsed="false">
      <c r="A61" s="6" t="s">
        <v>168</v>
      </c>
      <c r="C61" s="22" t="n">
        <f aca="false">SUM(C52:C60)</f>
        <v>662.721</v>
      </c>
      <c r="D61" s="22" t="n">
        <f aca="false">SUM(D52:D60)</f>
        <v>856.71</v>
      </c>
      <c r="E61" s="22" t="n">
        <f aca="false">SUM(E52:E60)</f>
        <v>604.243</v>
      </c>
    </row>
    <row r="62" customFormat="false" ht="15" hidden="false" customHeight="true" outlineLevel="0" collapsed="false">
      <c r="A62" s="7" t="s">
        <v>169</v>
      </c>
      <c r="C62" s="16" t="n">
        <v>1001.385</v>
      </c>
      <c r="D62" s="16" t="n">
        <v>1001.839</v>
      </c>
      <c r="E62" s="16" t="n">
        <v>1002.293</v>
      </c>
    </row>
    <row r="63" customFormat="false" ht="15" hidden="false" customHeight="true" outlineLevel="0" collapsed="false">
      <c r="A63" s="7" t="s">
        <v>170</v>
      </c>
      <c r="C63" s="16" t="n">
        <v>159.856</v>
      </c>
      <c r="D63" s="16" t="n">
        <v>0</v>
      </c>
      <c r="E63" s="16" t="n">
        <v>0</v>
      </c>
    </row>
    <row r="64" customFormat="false" ht="15" hidden="false" customHeight="true" outlineLevel="0" collapsed="false">
      <c r="A64" s="7" t="s">
        <v>171</v>
      </c>
      <c r="C64" s="16" t="n">
        <v>25.818</v>
      </c>
      <c r="D64" s="16" t="n">
        <v>0</v>
      </c>
      <c r="E64" s="16" t="n">
        <v>0</v>
      </c>
    </row>
    <row r="65" customFormat="false" ht="15" hidden="false" customHeight="true" outlineLevel="0" collapsed="false">
      <c r="A65" s="7" t="s">
        <v>172</v>
      </c>
      <c r="C65" s="16" t="n">
        <v>647.086</v>
      </c>
      <c r="D65" s="16" t="n">
        <v>601.535</v>
      </c>
      <c r="E65" s="16" t="n">
        <v>554.412</v>
      </c>
    </row>
    <row r="66" customFormat="false" ht="15" hidden="false" customHeight="true" outlineLevel="0" collapsed="false">
      <c r="A66" s="7" t="s">
        <v>173</v>
      </c>
      <c r="C66" s="16" t="n">
        <v>90.224</v>
      </c>
      <c r="D66" s="16" t="n">
        <v>127.639</v>
      </c>
      <c r="E66" s="16" t="n">
        <v>126.844</v>
      </c>
    </row>
    <row r="67" customFormat="false" ht="15" hidden="false" customHeight="true" outlineLevel="0" collapsed="false">
      <c r="A67" s="7" t="s">
        <v>174</v>
      </c>
      <c r="C67" s="16" t="n">
        <v>46.234</v>
      </c>
      <c r="D67" s="16" t="n">
        <v>62.914</v>
      </c>
      <c r="E67" s="16" t="n">
        <v>84.53</v>
      </c>
    </row>
    <row r="68" customFormat="false" ht="15" hidden="false" customHeight="true" outlineLevel="0" collapsed="false">
      <c r="A68" s="7" t="s">
        <v>130</v>
      </c>
      <c r="C68" s="16" t="n">
        <v>41.871</v>
      </c>
      <c r="D68" s="16" t="n">
        <v>36.7</v>
      </c>
      <c r="E68" s="16" t="n">
        <v>43.396</v>
      </c>
    </row>
    <row r="69" customFormat="false" ht="15" hidden="false" customHeight="true" outlineLevel="0" collapsed="false">
      <c r="A69" s="7" t="s">
        <v>175</v>
      </c>
      <c r="C69" s="16" t="n">
        <v>55.046</v>
      </c>
      <c r="D69" s="16" t="n">
        <v>55.046</v>
      </c>
      <c r="E69" s="16" t="n">
        <v>55.046</v>
      </c>
    </row>
    <row r="70" customFormat="false" ht="15" hidden="false" customHeight="true" outlineLevel="0" collapsed="false">
      <c r="A70" s="7" t="s">
        <v>176</v>
      </c>
      <c r="C70" s="16" t="n">
        <v>33.006</v>
      </c>
      <c r="D70" s="16" t="n">
        <v>33.006</v>
      </c>
      <c r="E70" s="16" t="n">
        <v>33.006</v>
      </c>
    </row>
    <row r="71" customFormat="false" ht="15" hidden="false" customHeight="true" outlineLevel="0" collapsed="false">
      <c r="A71" s="7" t="s">
        <v>177</v>
      </c>
      <c r="C71" s="16" t="n">
        <v>1286.964</v>
      </c>
      <c r="D71" s="16" t="n">
        <v>1290.829</v>
      </c>
      <c r="E71" s="16" t="n">
        <v>1316.042</v>
      </c>
    </row>
    <row r="72" customFormat="false" ht="15" hidden="false" customHeight="true" outlineLevel="0" collapsed="false">
      <c r="A72" s="6" t="s">
        <v>178</v>
      </c>
      <c r="C72" s="22" t="n">
        <f aca="false">C69+C70+C71</f>
        <v>1375.016</v>
      </c>
      <c r="D72" s="22" t="n">
        <f aca="false">D69+D70+D71</f>
        <v>1378.881</v>
      </c>
      <c r="E72" s="22" t="n">
        <f aca="false">E69+E70+E71</f>
        <v>1404.094</v>
      </c>
    </row>
    <row r="73" customFormat="false" ht="15" hidden="false" customHeight="true" outlineLevel="0" collapsed="false">
      <c r="A73" s="7" t="s">
        <v>179</v>
      </c>
      <c r="C73" s="16" t="n">
        <v>1368.988</v>
      </c>
      <c r="D73" s="16" t="n">
        <v>1548.478</v>
      </c>
      <c r="E73" s="16" t="n">
        <v>1823.022</v>
      </c>
    </row>
    <row r="74" customFormat="false" ht="15" hidden="false" customHeight="true" outlineLevel="0" collapsed="false">
      <c r="A74" s="7" t="s">
        <v>180</v>
      </c>
      <c r="C74" s="16" t="n">
        <v>44.122</v>
      </c>
      <c r="D74" s="16" t="n">
        <v>80.382</v>
      </c>
      <c r="E74" s="16" t="n">
        <v>10.134</v>
      </c>
    </row>
    <row r="75" customFormat="false" ht="15" hidden="false" customHeight="true" outlineLevel="0" collapsed="false">
      <c r="A75" s="7" t="s">
        <v>181</v>
      </c>
      <c r="C75" s="16" t="n">
        <v>47.088</v>
      </c>
      <c r="D75" s="16" t="n">
        <v>14.462</v>
      </c>
      <c r="E75" s="16" t="n">
        <v>41.094</v>
      </c>
    </row>
    <row r="76" customFormat="false" ht="15" hidden="false" customHeight="true" outlineLevel="0" collapsed="false">
      <c r="A76" s="6" t="s">
        <v>182</v>
      </c>
      <c r="C76" s="22" t="n">
        <f aca="false">C73+C74-C75</f>
        <v>1366.022</v>
      </c>
      <c r="D76" s="22" t="n">
        <f aca="false">D73+D74-D75</f>
        <v>1614.398</v>
      </c>
      <c r="E76" s="22" t="n">
        <f aca="false">E73+E74-E75</f>
        <v>1792.062</v>
      </c>
    </row>
    <row r="77" customFormat="false" ht="15" hidden="false" customHeight="true" outlineLevel="0" collapsed="false">
      <c r="A77" s="6" t="s">
        <v>183</v>
      </c>
      <c r="C77" s="22" t="n">
        <f aca="false">C61+SUM(C62:C68)+C72+C76</f>
        <v>5416.233</v>
      </c>
      <c r="D77" s="22" t="n">
        <f aca="false">D61+SUM(D62:D68)+D72+D76</f>
        <v>5680.616</v>
      </c>
      <c r="E77" s="22" t="n">
        <f aca="false">E61+SUM(E62:E68)+E72+E76</f>
        <v>5611.874</v>
      </c>
    </row>
    <row r="79" customFormat="false" ht="15" hidden="false" customHeight="true" outlineLevel="0" collapsed="false">
      <c r="A79" s="7" t="s">
        <v>184</v>
      </c>
      <c r="C79" s="23" t="n">
        <f aca="false">C51-C77</f>
        <v>0</v>
      </c>
      <c r="D79" s="23" t="n">
        <f aca="false">D51-D77</f>
        <v>0</v>
      </c>
      <c r="E79" s="23" t="n">
        <f aca="false">E51-E77</f>
        <v>0</v>
      </c>
      <c r="G79" s="23" t="n">
        <f aca="false">MAX(ABS(C79),ABS(D79),ABS(E79))</f>
        <v>0</v>
      </c>
      <c r="H79" s="7" t="str">
        <f aca="false">IF(G79&lt;0.001,"El balance cuadra","NO CUADRA")</f>
        <v>El balance cuadra</v>
      </c>
    </row>
    <row r="80" customFormat="false" ht="15" hidden="false" customHeight="true" outlineLevel="0" collapsed="false">
      <c r="A80" s="6" t="s">
        <v>185</v>
      </c>
      <c r="G80" s="6" t="s">
        <v>133</v>
      </c>
    </row>
    <row r="81" customFormat="false" ht="15" hidden="false" customHeight="true" outlineLevel="0" collapsed="false">
      <c r="A81" s="7" t="s">
        <v>186</v>
      </c>
      <c r="C81" s="16" t="n">
        <v>539.9</v>
      </c>
      <c r="D81" s="16" t="n">
        <v>854.9</v>
      </c>
      <c r="E81" s="16" t="n">
        <v>833.8</v>
      </c>
      <c r="G81" s="23" t="n">
        <f aca="false">MAX(ABS(C81-C42),ABS(D81-D42),ABS(E81-E42))</f>
        <v>0.0469999999999118</v>
      </c>
      <c r="H81" s="7" t="str">
        <f aca="false">IF(G81&lt;0.06,"Cuadra (redondeo)","NO CUADRA")</f>
        <v>Cuadra (redondeo)</v>
      </c>
    </row>
    <row r="82" customFormat="false" ht="15" hidden="false" customHeight="true" outlineLevel="0" collapsed="false">
      <c r="A82" s="7" t="s">
        <v>187</v>
      </c>
      <c r="C82" s="16" t="n">
        <v>5416.2</v>
      </c>
      <c r="D82" s="16" t="n">
        <v>5680.6</v>
      </c>
      <c r="E82" s="16" t="n">
        <v>5611.9</v>
      </c>
      <c r="G82" s="23" t="n">
        <f aca="false">MAX(ABS(C82-C51),ABS(D82-D51),ABS(E82-E51))</f>
        <v>0.0330000000003565</v>
      </c>
      <c r="H82" s="7" t="str">
        <f aca="false">IF(G82&lt;0.06,"Cuadra (redondeo)","NO CUADRA")</f>
        <v>Cuadra (redondeo)</v>
      </c>
    </row>
    <row r="83" customFormat="false" ht="15" hidden="false" customHeight="true" outlineLevel="0" collapsed="false">
      <c r="A83" s="7" t="s">
        <v>188</v>
      </c>
      <c r="C83" s="16" t="n">
        <v>662.7</v>
      </c>
      <c r="D83" s="16" t="n">
        <v>856.7</v>
      </c>
      <c r="E83" s="16" t="n">
        <v>604.2</v>
      </c>
      <c r="G83" s="23" t="n">
        <f aca="false">MAX(ABS(C83-C61),ABS(D83-D61),ABS(E83-E61))</f>
        <v>0.0429999999998927</v>
      </c>
      <c r="H83" s="7" t="str">
        <f aca="false">IF(G83&lt;0.06,"Cuadra (redondeo)","NO CUADRA")</f>
        <v>Cuadra (redondeo)</v>
      </c>
    </row>
    <row r="84" customFormat="false" ht="15" hidden="false" customHeight="true" outlineLevel="0" collapsed="false">
      <c r="A84" s="7" t="s">
        <v>189</v>
      </c>
      <c r="C84" s="16" t="n">
        <v>1375</v>
      </c>
      <c r="D84" s="16" t="n">
        <v>1378.9</v>
      </c>
      <c r="E84" s="16" t="n">
        <v>1404.1</v>
      </c>
      <c r="G84" s="23" t="n">
        <f aca="false">MAX(ABS(C84-C72),ABS(D84-D72),ABS(E84-E72))</f>
        <v>0.0190000000002328</v>
      </c>
      <c r="H84" s="7" t="str">
        <f aca="false">IF(G84&lt;0.06,"Cuadra (redondeo)","NO CUADRA")</f>
        <v>Cuadra (redondeo)</v>
      </c>
    </row>
    <row r="85" customFormat="false" ht="15" hidden="false" customHeight="true" outlineLevel="0" collapsed="false">
      <c r="A85" s="7" t="s">
        <v>190</v>
      </c>
      <c r="C85" s="16" t="n">
        <v>1366</v>
      </c>
      <c r="D85" s="16" t="n">
        <v>1614.4</v>
      </c>
      <c r="E85" s="16" t="n">
        <v>1792.1</v>
      </c>
      <c r="G85" s="23" t="n">
        <f aca="false">MAX(ABS(C85-C76),ABS(D85-D76),ABS(E85-E76))</f>
        <v>0.0380000000000109</v>
      </c>
      <c r="H85" s="7" t="str">
        <f aca="false">IF(G85&lt;0.06,"Cuadra (redondeo)","NO CUADRA")</f>
        <v>Cuadra (redondeo)</v>
      </c>
    </row>
    <row r="86" customFormat="false" ht="15" hidden="false" customHeight="true" outlineLevel="0" collapsed="false">
      <c r="A86" s="7" t="s">
        <v>191</v>
      </c>
      <c r="C86" s="16" t="n">
        <v>5416.2</v>
      </c>
      <c r="D86" s="16" t="n">
        <v>5680.6</v>
      </c>
      <c r="E86" s="16" t="n">
        <v>5611.9</v>
      </c>
      <c r="G86" s="23" t="n">
        <f aca="false">MAX(ABS(C86-C77),ABS(D86-D77),ABS(E86-E77))</f>
        <v>0.032999999999447</v>
      </c>
      <c r="H86" s="7" t="str">
        <f aca="false">IF(G86&lt;0.06,"Cuadra (redondeo)","NO CUADRA")</f>
        <v>Cuadra (redondeo)</v>
      </c>
    </row>
    <row r="87" customFormat="false" ht="15" hidden="false" customHeight="true" outlineLevel="0" collapsed="false">
      <c r="A87" s="7" t="s">
        <v>192</v>
      </c>
      <c r="G87" s="23" t="n">
        <f aca="false">MAX(G81:G86)</f>
        <v>0.0469999999999118</v>
      </c>
    </row>
    <row r="89" customFormat="false" ht="15" hidden="false" customHeight="true" outlineLevel="0" collapsed="false">
      <c r="A89" s="4" t="s">
        <v>193</v>
      </c>
      <c r="B89" s="5"/>
      <c r="C89" s="5"/>
      <c r="D89" s="5"/>
      <c r="E89" s="5"/>
      <c r="F89" s="5"/>
      <c r="G89" s="5"/>
      <c r="H89" s="5"/>
      <c r="I89" s="5"/>
      <c r="J89" s="5"/>
    </row>
    <row r="90" customFormat="false" ht="15" hidden="false" customHeight="true" outlineLevel="0" collapsed="false">
      <c r="A90" s="7" t="s">
        <v>194</v>
      </c>
      <c r="C90" s="23" t="n">
        <f aca="false">C72+C76</f>
        <v>2741.038</v>
      </c>
      <c r="D90" s="23" t="n">
        <f aca="false">D72+D76</f>
        <v>2993.279</v>
      </c>
      <c r="E90" s="23" t="n">
        <f aca="false">E72+E76</f>
        <v>3196.156</v>
      </c>
    </row>
    <row r="91" customFormat="false" ht="15" hidden="false" customHeight="true" outlineLevel="0" collapsed="false">
      <c r="A91" s="7" t="s">
        <v>195</v>
      </c>
      <c r="D91" s="23" t="n">
        <f aca="false">D73-C73</f>
        <v>179.49</v>
      </c>
      <c r="E91" s="23" t="n">
        <f aca="false">E73-D73</f>
        <v>274.544</v>
      </c>
    </row>
    <row r="92" customFormat="false" ht="15" hidden="false" customHeight="true" outlineLevel="0" collapsed="false">
      <c r="A92" s="7" t="s">
        <v>196</v>
      </c>
      <c r="D92" s="23" t="n">
        <f aca="false">-D22</f>
        <v>-179.49</v>
      </c>
      <c r="E92" s="23" t="n">
        <f aca="false">-E22</f>
        <v>-314.734000000001</v>
      </c>
    </row>
    <row r="93" customFormat="false" ht="15" hidden="false" customHeight="true" outlineLevel="0" collapsed="false">
      <c r="A93" s="6" t="s">
        <v>197</v>
      </c>
      <c r="D93" s="22" t="n">
        <f aca="false">D91+D92</f>
        <v>0</v>
      </c>
      <c r="E93" s="22" t="n">
        <f aca="false">E91+E92</f>
        <v>-40.1900000000007</v>
      </c>
      <c r="H93" s="7" t="s">
        <v>198</v>
      </c>
    </row>
    <row r="94" customFormat="false" ht="15" hidden="false" customHeight="true" outlineLevel="0" collapsed="false">
      <c r="A94" s="7" t="s">
        <v>199</v>
      </c>
      <c r="D94" s="23" t="n">
        <f aca="false">D76-C76-D22</f>
        <v>68.8860000000004</v>
      </c>
      <c r="E94" s="23" t="n">
        <f aca="false">E76-D76-E22</f>
        <v>-137.070000000001</v>
      </c>
      <c r="H94" s="7" t="s">
        <v>200</v>
      </c>
    </row>
    <row r="96" customFormat="false" ht="15" hidden="false" customHeight="true" outlineLevel="0" collapsed="false">
      <c r="A96" s="7" t="s">
        <v>201</v>
      </c>
      <c r="C96" s="23" t="n">
        <f aca="false">C43+C44+C45</f>
        <v>3962.941</v>
      </c>
      <c r="D96" s="23" t="n">
        <f aca="false">D43+D44+D45</f>
        <v>4149.371</v>
      </c>
      <c r="E96" s="23" t="n">
        <f aca="false">E43+E44+E45</f>
        <v>4092.917</v>
      </c>
    </row>
    <row r="97" customFormat="false" ht="15" hidden="false" customHeight="true" outlineLevel="0" collapsed="false">
      <c r="A97" s="7" t="s">
        <v>202</v>
      </c>
      <c r="D97" s="23" t="n">
        <f aca="false">D96-C96+D12</f>
        <v>741.955</v>
      </c>
      <c r="E97" s="23" t="n">
        <f aca="false">E96-D96+E12</f>
        <v>525.815</v>
      </c>
      <c r="H97" s="7" t="s">
        <v>203</v>
      </c>
    </row>
    <row r="98" customFormat="false" ht="15" hidden="false" customHeight="true" outlineLevel="0" collapsed="false">
      <c r="A98" s="7" t="s">
        <v>204</v>
      </c>
      <c r="D98" s="24" t="n">
        <f aca="false">D97/D7</f>
        <v>0.213625651604953</v>
      </c>
      <c r="E98" s="24" t="n">
        <f aca="false">E97/E7</f>
        <v>0.133243746490351</v>
      </c>
    </row>
    <row r="100" customFormat="false" ht="15" hidden="false" customHeight="true" outlineLevel="0" collapsed="false">
      <c r="A100" s="4" t="s">
        <v>205</v>
      </c>
      <c r="B100" s="5"/>
      <c r="C100" s="5"/>
      <c r="D100" s="5"/>
      <c r="E100" s="5"/>
      <c r="F100" s="5"/>
      <c r="G100" s="5"/>
      <c r="H100" s="5"/>
      <c r="I100" s="5"/>
      <c r="J100" s="5"/>
    </row>
    <row r="101" customFormat="false" ht="15" hidden="false" customHeight="true" outlineLevel="0" collapsed="false">
      <c r="C101" s="6" t="s">
        <v>112</v>
      </c>
      <c r="D101" s="6" t="s">
        <v>113</v>
      </c>
      <c r="E101" s="6" t="s">
        <v>114</v>
      </c>
      <c r="G101" s="6" t="s">
        <v>206</v>
      </c>
    </row>
    <row r="102" customFormat="false" ht="15" hidden="false" customHeight="true" outlineLevel="0" collapsed="false">
      <c r="A102" s="7" t="s">
        <v>207</v>
      </c>
      <c r="D102" s="24" t="n">
        <f aca="false">D7/C7-1</f>
        <v>0.145966447415091</v>
      </c>
      <c r="E102" s="24" t="n">
        <f aca="false">E7/D7-1</f>
        <v>0.136218798182056</v>
      </c>
    </row>
    <row r="103" customFormat="false" ht="15" hidden="false" customHeight="true" outlineLevel="0" collapsed="false">
      <c r="A103" s="7" t="s">
        <v>63</v>
      </c>
      <c r="D103" s="24" t="n">
        <f aca="false">D5/C5-1</f>
        <v>0.137030415751982</v>
      </c>
      <c r="E103" s="24" t="n">
        <f aca="false">E5/D5-1</f>
        <v>0.144607252963997</v>
      </c>
    </row>
    <row r="104" customFormat="false" ht="15" hidden="false" customHeight="true" outlineLevel="0" collapsed="false">
      <c r="A104" s="7" t="s">
        <v>208</v>
      </c>
      <c r="C104" s="24" t="n">
        <f aca="false">C11/C7</f>
        <v>0.229982859113128</v>
      </c>
      <c r="D104" s="24" t="n">
        <f aca="false">D11/D7</f>
        <v>0.249055397757946</v>
      </c>
      <c r="E104" s="24" t="n">
        <f aca="false">E11/E7</f>
        <v>0.261848928505544</v>
      </c>
      <c r="G104" s="25" t="n">
        <f aca="false">Comparables!M14</f>
        <v>0.316</v>
      </c>
    </row>
    <row r="105" customFormat="false" ht="15" hidden="false" customHeight="true" outlineLevel="0" collapsed="false">
      <c r="A105" s="7" t="s">
        <v>209</v>
      </c>
      <c r="C105" s="24" t="n">
        <f aca="false">C13/C7</f>
        <v>0.0682768211986082</v>
      </c>
      <c r="D105" s="24" t="n">
        <f aca="false">D13/D7</f>
        <v>0.0891071662508583</v>
      </c>
      <c r="E105" s="24" t="n">
        <f aca="false">E13/E7</f>
        <v>0.11429949947596</v>
      </c>
      <c r="G105" s="25" t="n">
        <f aca="false">Comparables!L14</f>
        <v>0.156</v>
      </c>
    </row>
    <row r="106" customFormat="false" ht="15" hidden="false" customHeight="true" outlineLevel="0" collapsed="false">
      <c r="A106" s="7" t="s">
        <v>210</v>
      </c>
      <c r="C106" s="24" t="n">
        <f aca="false">C22/C7</f>
        <v>0.0511260358358368</v>
      </c>
      <c r="D106" s="24" t="n">
        <f aca="false">D22/D7</f>
        <v>0.0516792368898018</v>
      </c>
      <c r="E106" s="24" t="n">
        <f aca="false">E22/E7</f>
        <v>0.0797549276987045</v>
      </c>
      <c r="G106" s="25" t="n">
        <f aca="false">Comparables!N14</f>
        <v>0.066</v>
      </c>
    </row>
    <row r="107" customFormat="false" ht="15" hidden="false" customHeight="true" outlineLevel="0" collapsed="false">
      <c r="A107" s="7" t="s">
        <v>211</v>
      </c>
      <c r="C107" s="24" t="n">
        <f aca="false">(C6-C9)/C6</f>
        <v>-1.5126703739515</v>
      </c>
      <c r="D107" s="24" t="n">
        <f aca="false">(D6-D9)/D6</f>
        <v>-1.19870142418211</v>
      </c>
      <c r="E107" s="24" t="n">
        <f aca="false">(E6-E9)/E6</f>
        <v>-1.39760398761174</v>
      </c>
    </row>
    <row r="108" customFormat="false" ht="15" hidden="false" customHeight="true" outlineLevel="0" collapsed="false">
      <c r="A108" s="7" t="s">
        <v>68</v>
      </c>
      <c r="C108" s="24" t="n">
        <f aca="false">C10/C7</f>
        <v>0.401782718224607</v>
      </c>
      <c r="D108" s="24" t="n">
        <f aca="false">D10/D7</f>
        <v>0.402965315397672</v>
      </c>
      <c r="E108" s="24" t="n">
        <f aca="false">E10/E7</f>
        <v>0.394205506778056</v>
      </c>
    </row>
    <row r="109" customFormat="false" ht="15" hidden="false" customHeight="true" outlineLevel="0" collapsed="false">
      <c r="A109" s="7" t="s">
        <v>212</v>
      </c>
      <c r="C109" s="24" t="n">
        <f aca="false">C22/C51</f>
        <v>0.0286086289123824</v>
      </c>
      <c r="D109" s="24" t="n">
        <f aca="false">D22/D51</f>
        <v>0.0315969254038646</v>
      </c>
      <c r="E109" s="24" t="n">
        <f aca="false">E22/E51</f>
        <v>0.0560835827746668</v>
      </c>
    </row>
    <row r="110" customFormat="false" ht="15" hidden="false" customHeight="true" outlineLevel="0" collapsed="false">
      <c r="A110" s="7" t="s">
        <v>213</v>
      </c>
      <c r="C110" s="24" t="n">
        <f aca="false">C22/C90</f>
        <v>0.0565300444576105</v>
      </c>
      <c r="D110" s="24" t="n">
        <f aca="false">D22/D90</f>
        <v>0.0599643401099595</v>
      </c>
      <c r="E110" s="24" t="n">
        <f aca="false">E22/E90</f>
        <v>0.0984726652891788</v>
      </c>
    </row>
    <row r="111" customFormat="false" ht="15" hidden="false" customHeight="true" outlineLevel="0" collapsed="false">
      <c r="A111" s="7" t="s">
        <v>214</v>
      </c>
      <c r="C111" s="24" t="n">
        <f aca="false">C13*(1-Supuestos!$C$6)/(C90+C62+C57)</f>
        <v>0.0320209066691975</v>
      </c>
      <c r="D111" s="24" t="n">
        <f aca="false">D13*(1-Supuestos!$C$6)/(D90+D62+D57)</f>
        <v>0.0460755243394858</v>
      </c>
      <c r="E111" s="24" t="n">
        <f aca="false">E13*(1-Supuestos!$C$6)/(E90+E62+E57)</f>
        <v>0.064460375724464</v>
      </c>
    </row>
    <row r="112" customFormat="false" ht="15" hidden="false" customHeight="true" outlineLevel="0" collapsed="false">
      <c r="A112" s="7" t="s">
        <v>215</v>
      </c>
      <c r="C112" s="26" t="n">
        <f aca="false">C37/C7*360</f>
        <v>43.0416874947414</v>
      </c>
      <c r="D112" s="26" t="n">
        <f aca="false">D37/D7*360</f>
        <v>42.2318266820801</v>
      </c>
      <c r="E112" s="26" t="n">
        <f aca="false">E37/E7*360</f>
        <v>39.7284418883278</v>
      </c>
    </row>
    <row r="113" customFormat="false" ht="15" hidden="false" customHeight="true" outlineLevel="0" collapsed="false">
      <c r="A113" s="7" t="s">
        <v>216</v>
      </c>
      <c r="C113" s="26" t="n">
        <f aca="false">C38/C6*360</f>
        <v>163.879397083581</v>
      </c>
      <c r="D113" s="26" t="n">
        <f aca="false">D38/D6*360</f>
        <v>163.048715917216</v>
      </c>
      <c r="E113" s="26" t="n">
        <f aca="false">E38/E6*360</f>
        <v>136.152523902077</v>
      </c>
    </row>
    <row r="114" customFormat="false" ht="15" hidden="false" customHeight="true" outlineLevel="0" collapsed="false">
      <c r="A114" s="7" t="s">
        <v>217</v>
      </c>
      <c r="C114" s="26" t="n">
        <f aca="false">C38/C9*360</f>
        <v>65.2212079954838</v>
      </c>
      <c r="D114" s="26" t="n">
        <f aca="false">D38/D9*360</f>
        <v>74.1568246256392</v>
      </c>
      <c r="E114" s="26" t="n">
        <f aca="false">E38/E9*360</f>
        <v>56.7869108516537</v>
      </c>
    </row>
    <row r="115" customFormat="false" ht="15" hidden="false" customHeight="true" outlineLevel="0" collapsed="false">
      <c r="A115" s="7" t="s">
        <v>218</v>
      </c>
      <c r="C115" s="23" t="n">
        <f aca="false">C8+C9+C10</f>
        <v>2333.741</v>
      </c>
      <c r="D115" s="23" t="n">
        <f aca="false">D8+D9+D10</f>
        <v>2608.147</v>
      </c>
      <c r="E115" s="23" t="n">
        <f aca="false">E8+E9+E10</f>
        <v>2912.939</v>
      </c>
    </row>
    <row r="116" customFormat="false" ht="15" hidden="false" customHeight="true" outlineLevel="0" collapsed="false">
      <c r="A116" s="7" t="s">
        <v>82</v>
      </c>
      <c r="C116" s="10" t="n">
        <f aca="false">C39/C115</f>
        <v>0.0137410278175684</v>
      </c>
      <c r="D116" s="10" t="n">
        <f aca="false">D39/D115</f>
        <v>0.0134022353801377</v>
      </c>
      <c r="E116" s="10" t="n">
        <f aca="false">E39/E115</f>
        <v>0.0142769896657637</v>
      </c>
    </row>
    <row r="117" customFormat="false" ht="15" hidden="false" customHeight="true" outlineLevel="0" collapsed="false">
      <c r="A117" s="7" t="s">
        <v>84</v>
      </c>
      <c r="C117" s="26" t="n">
        <f aca="false">C52/C115*360</f>
        <v>39.1996198378483</v>
      </c>
      <c r="D117" s="26" t="n">
        <f aca="false">D52/D115*360</f>
        <v>35.1795968555453</v>
      </c>
      <c r="E117" s="26" t="n">
        <f aca="false">E52/E115*360</f>
        <v>32.2302526760773</v>
      </c>
    </row>
    <row r="118" customFormat="false" ht="15" hidden="false" customHeight="true" outlineLevel="0" collapsed="false">
      <c r="A118" s="7" t="s">
        <v>86</v>
      </c>
      <c r="C118" s="26" t="n">
        <f aca="false">C53/C5*360</f>
        <v>14.1868439651336</v>
      </c>
      <c r="D118" s="26" t="n">
        <f aca="false">D53/D5*360</f>
        <v>13.8139938589041</v>
      </c>
      <c r="E118" s="26" t="n">
        <f aca="false">E53/E5*360</f>
        <v>14.0355731364954</v>
      </c>
    </row>
    <row r="119" customFormat="false" ht="15" hidden="false" customHeight="true" outlineLevel="0" collapsed="false">
      <c r="A119" s="7" t="s">
        <v>88</v>
      </c>
      <c r="C119" s="26" t="n">
        <f aca="false">C54/C115*360</f>
        <v>6.61230187925738</v>
      </c>
      <c r="D119" s="26" t="n">
        <f aca="false">D54/D115*360</f>
        <v>6.60358484395243</v>
      </c>
      <c r="E119" s="26" t="n">
        <f aca="false">E54/E115*360</f>
        <v>7.31928818282841</v>
      </c>
    </row>
    <row r="120" customFormat="false" ht="15" hidden="false" customHeight="true" outlineLevel="0" collapsed="false">
      <c r="A120" s="7" t="s">
        <v>219</v>
      </c>
      <c r="C120" s="26" t="n">
        <f aca="false">C112+C114-C117</f>
        <v>69.0632756523769</v>
      </c>
      <c r="D120" s="26" t="n">
        <f aca="false">D112+D114-D117</f>
        <v>81.2090544521739</v>
      </c>
      <c r="E120" s="26" t="n">
        <f aca="false">E112+E114-E117</f>
        <v>64.2851000639042</v>
      </c>
    </row>
    <row r="121" customFormat="false" ht="15" hidden="false" customHeight="true" outlineLevel="0" collapsed="false">
      <c r="A121" s="7" t="s">
        <v>76</v>
      </c>
      <c r="C121" s="10" t="n">
        <f aca="false">C6/C5</f>
        <v>0.072069831787655</v>
      </c>
      <c r="D121" s="10" t="n">
        <f aca="false">D6/D5</f>
        <v>0.0804953319582754</v>
      </c>
      <c r="E121" s="10" t="n">
        <f aca="false">E6/E5</f>
        <v>0.0725767326214647</v>
      </c>
    </row>
    <row r="122" customFormat="false" ht="15" hidden="false" customHeight="true" outlineLevel="0" collapsed="false">
      <c r="A122" s="7" t="s">
        <v>220</v>
      </c>
      <c r="C122" s="27" t="n">
        <f aca="false">C7/C51</f>
        <v>0.559570646240662</v>
      </c>
      <c r="D122" s="27" t="n">
        <f aca="false">D7/D51</f>
        <v>0.611404643440078</v>
      </c>
      <c r="E122" s="27" t="n">
        <f aca="false">E7/E51</f>
        <v>0.703198967047371</v>
      </c>
    </row>
    <row r="123" customFormat="false" ht="15" hidden="false" customHeight="true" outlineLevel="0" collapsed="false">
      <c r="A123" s="7" t="s">
        <v>221</v>
      </c>
      <c r="C123" s="27" t="n">
        <f aca="false">C42/C61</f>
        <v>0.814649000107134</v>
      </c>
      <c r="D123" s="27" t="n">
        <f aca="false">D42/D61</f>
        <v>0.997908277013225</v>
      </c>
      <c r="E123" s="27" t="n">
        <f aca="false">E42/E61</f>
        <v>1.37983063105406</v>
      </c>
    </row>
    <row r="124" customFormat="false" ht="15" hidden="false" customHeight="true" outlineLevel="0" collapsed="false">
      <c r="A124" s="7" t="s">
        <v>222</v>
      </c>
      <c r="C124" s="27" t="n">
        <f aca="false">(C42-C38)/C61</f>
        <v>0.674698704281289</v>
      </c>
      <c r="D124" s="27" t="n">
        <f aca="false">(D42-D38)/D61</f>
        <v>0.861118698275963</v>
      </c>
      <c r="E124" s="27" t="n">
        <f aca="false">(E42-E38)/E61</f>
        <v>1.2126958855957</v>
      </c>
    </row>
    <row r="125" customFormat="false" ht="15" hidden="false" customHeight="true" outlineLevel="0" collapsed="false">
      <c r="A125" s="7" t="s">
        <v>223</v>
      </c>
      <c r="C125" s="24" t="n">
        <f aca="false">(C62+C57)/C90</f>
        <v>0.414581994120476</v>
      </c>
      <c r="D125" s="24" t="n">
        <f aca="false">(D62+D57)/D90</f>
        <v>0.346389026883227</v>
      </c>
      <c r="E125" s="24" t="n">
        <f aca="false">(E62+E57)/E90</f>
        <v>0.313593266411277</v>
      </c>
      <c r="G125" s="25" t="n">
        <f aca="false">Comparables!I12</f>
        <v>0.400859495544593</v>
      </c>
    </row>
    <row r="126" customFormat="false" ht="15" hidden="false" customHeight="true" outlineLevel="0" collapsed="false">
      <c r="A126" s="7" t="s">
        <v>224</v>
      </c>
      <c r="C126" s="27" t="n">
        <f aca="false">(C62+C57)/C11</f>
        <v>1.63033841015517</v>
      </c>
      <c r="D126" s="27" t="n">
        <f aca="false">(D62+D57)/D11</f>
        <v>1.19864671771822</v>
      </c>
      <c r="E126" s="27" t="n">
        <f aca="false">(E62+E57)/E11</f>
        <v>0.969968790070887</v>
      </c>
    </row>
    <row r="127" customFormat="false" ht="15" hidden="false" customHeight="true" outlineLevel="0" collapsed="false">
      <c r="A127" s="7" t="s">
        <v>225</v>
      </c>
      <c r="C127" s="27" t="n">
        <f aca="false">C11/C14</f>
        <v>8.21313349122745</v>
      </c>
      <c r="D127" s="27" t="n">
        <f aca="false">D11/D14</f>
        <v>9.23423788884855</v>
      </c>
      <c r="E127" s="27" t="n">
        <f aca="false">E11/E14</f>
        <v>12.2028484039727</v>
      </c>
    </row>
    <row r="128" customFormat="false" ht="15" hidden="false" customHeight="true" outlineLevel="0" collapsed="false">
      <c r="A128" s="7" t="s">
        <v>226</v>
      </c>
      <c r="C128" s="24" t="n">
        <f aca="false">(C35+C36)/C7</f>
        <v>0.00956953112498</v>
      </c>
      <c r="D128" s="24" t="n">
        <f aca="false">(D35+D36)/D7</f>
        <v>0.081180079783367</v>
      </c>
      <c r="E128" s="24" t="n">
        <f aca="false">(E35+E36)/E7</f>
        <v>0.0559731938866736</v>
      </c>
    </row>
    <row r="129" customFormat="false" ht="15" hidden="false" customHeight="true" outlineLevel="0" collapsed="false">
      <c r="A129" s="7" t="s">
        <v>204</v>
      </c>
      <c r="D129" s="24" t="n">
        <f aca="false">D97/D7</f>
        <v>0.213625651604953</v>
      </c>
      <c r="E129" s="24" t="n">
        <f aca="false">E97/E7</f>
        <v>0.133243746490351</v>
      </c>
    </row>
    <row r="130" customFormat="false" ht="15" hidden="false" customHeight="true" outlineLevel="0" collapsed="false">
      <c r="A130" s="7" t="s">
        <v>227</v>
      </c>
      <c r="C130" s="24" t="n">
        <f aca="false">C12/C7</f>
        <v>0.16170603791452</v>
      </c>
      <c r="D130" s="24" t="n">
        <f aca="false">D12/D7</f>
        <v>0.159948231507088</v>
      </c>
      <c r="E130" s="24" t="n">
        <f aca="false">E12/E7</f>
        <v>0.147549429029583</v>
      </c>
    </row>
    <row r="131" customFormat="false" ht="15" hidden="false" customHeight="true" outlineLevel="0" collapsed="false">
      <c r="A131" s="7" t="s">
        <v>228</v>
      </c>
      <c r="C131" s="24" t="n">
        <f aca="false">C19/C18</f>
        <v>0.366776737441027</v>
      </c>
      <c r="D131" s="24" t="n">
        <f aca="false">D19/D18</f>
        <v>0.385146484936354</v>
      </c>
      <c r="E131" s="24" t="n">
        <f aca="false">E19/E18</f>
        <v>0.396542732767186</v>
      </c>
    </row>
    <row r="133" customFormat="false" ht="15" hidden="false" customHeight="true" outlineLevel="0" collapsed="false">
      <c r="A133" s="6" t="s">
        <v>229</v>
      </c>
    </row>
    <row r="134" customFormat="false" ht="15" hidden="false" customHeight="true" outlineLevel="0" collapsed="false">
      <c r="A134" s="7" t="s">
        <v>230</v>
      </c>
      <c r="C134" s="20" t="n">
        <v>301</v>
      </c>
      <c r="D134" s="20" t="n">
        <v>310</v>
      </c>
      <c r="E134" s="20" t="n">
        <v>477</v>
      </c>
    </row>
    <row r="135" customFormat="false" ht="15" hidden="false" customHeight="true" outlineLevel="0" collapsed="false">
      <c r="A135" s="7" t="s">
        <v>231</v>
      </c>
      <c r="C135" s="20" t="n">
        <v>372</v>
      </c>
      <c r="D135" s="20" t="n">
        <v>385</v>
      </c>
      <c r="E135" s="20" t="n">
        <v>487</v>
      </c>
    </row>
    <row r="136" customFormat="false" ht="15" hidden="false" customHeight="true" outlineLevel="0" collapsed="false">
      <c r="A136" s="7" t="s">
        <v>232</v>
      </c>
      <c r="C136" s="19" t="n">
        <v>45.24</v>
      </c>
      <c r="D136" s="19" t="n">
        <v>47.23</v>
      </c>
      <c r="E136" s="19" t="n">
        <v>51.13</v>
      </c>
    </row>
    <row r="137" customFormat="false" ht="15" hidden="false" customHeight="true" outlineLevel="0" collapsed="false">
      <c r="A137" s="7" t="s">
        <v>233</v>
      </c>
      <c r="C137" s="20" t="n">
        <v>625</v>
      </c>
      <c r="D137" s="20" t="n">
        <v>704</v>
      </c>
      <c r="E137" s="20" t="n">
        <v>859</v>
      </c>
    </row>
    <row r="138" customFormat="false" ht="15" hidden="false" customHeight="true" outlineLevel="0" collapsed="false">
      <c r="A138" s="7" t="s">
        <v>234</v>
      </c>
      <c r="C138" s="8" t="n">
        <v>0.021</v>
      </c>
      <c r="D138" s="8" t="n">
        <v>0.021</v>
      </c>
      <c r="E138" s="8" t="n">
        <v>0.017</v>
      </c>
    </row>
    <row r="139" customFormat="false" ht="15" hidden="false" customHeight="true" outlineLevel="0" collapsed="false">
      <c r="A139" s="7" t="s">
        <v>235</v>
      </c>
      <c r="C139" s="28" t="n">
        <f aca="false">C134*C135</f>
        <v>111972</v>
      </c>
      <c r="D139" s="28" t="n">
        <f aca="false">D134*D135</f>
        <v>119350</v>
      </c>
      <c r="E139" s="28" t="n">
        <f aca="false">E134*E135</f>
        <v>232299</v>
      </c>
    </row>
    <row r="140" customFormat="false" ht="15" hidden="false" customHeight="true" outlineLevel="0" collapsed="false">
      <c r="A140" s="7" t="s">
        <v>236</v>
      </c>
      <c r="C140" s="29" t="n">
        <f aca="false">C136/C137</f>
        <v>0.072384</v>
      </c>
      <c r="D140" s="29" t="n">
        <f aca="false">D136/D137</f>
        <v>0.0670880681818182</v>
      </c>
      <c r="E140" s="29" t="n">
        <f aca="false">E136/E137</f>
        <v>0.0595227008149011</v>
      </c>
    </row>
    <row r="141" customFormat="false" ht="15" hidden="false" customHeight="true" outlineLevel="0" collapsed="false">
      <c r="A141" s="7" t="s">
        <v>237</v>
      </c>
      <c r="D141" s="24" t="n">
        <f aca="false">D140/C140-1</f>
        <v>-0.0731643984607349</v>
      </c>
      <c r="E141" s="24" t="n">
        <f aca="false">E140/D140-1</f>
        <v>-0.112767703288369</v>
      </c>
    </row>
    <row r="142" customFormat="false" ht="15" hidden="false" customHeight="true" outlineLevel="0" collapsed="false">
      <c r="A142" s="7" t="s">
        <v>238</v>
      </c>
      <c r="D142" s="24" t="n">
        <f aca="false">D135/C135-1</f>
        <v>0.0349462365591398</v>
      </c>
      <c r="E142" s="24" t="n">
        <f aca="false">E135/D135-1</f>
        <v>0.264935064935065</v>
      </c>
    </row>
    <row r="143" customFormat="false" ht="15" hidden="false" customHeight="true" outlineLevel="0" collapsed="false">
      <c r="A143" s="7" t="s">
        <v>239</v>
      </c>
      <c r="D143" s="24" t="n">
        <f aca="false">D137/C137-1</f>
        <v>0.1264</v>
      </c>
      <c r="E143" s="24" t="n">
        <f aca="false">E137/D137-1</f>
        <v>0.220170454545455</v>
      </c>
    </row>
    <row r="144" customFormat="false" ht="15" hidden="false" customHeight="true" outlineLevel="0" collapsed="false">
      <c r="A144" s="7" t="s">
        <v>240</v>
      </c>
      <c r="D144" s="24" t="n">
        <f aca="false">D136/C136-1</f>
        <v>0.0439876215738284</v>
      </c>
      <c r="E144" s="24" t="n">
        <f aca="false">E136/D136-1</f>
        <v>0.0825746347660388</v>
      </c>
    </row>
    <row r="145" customFormat="false" ht="15" hidden="false" customHeight="true" outlineLevel="0" collapsed="false">
      <c r="A145" s="7" t="s">
        <v>241</v>
      </c>
      <c r="C145" s="20" t="n">
        <v>111972</v>
      </c>
      <c r="D145" s="20" t="n">
        <v>119350</v>
      </c>
      <c r="E145" s="20" t="n">
        <v>232299</v>
      </c>
      <c r="G145" s="28" t="n">
        <f aca="false">MAX(ABS(C145-C139),ABS(D145-D139),ABS(E145-E139))</f>
        <v>0</v>
      </c>
    </row>
    <row r="146" customFormat="false" ht="15" hidden="false" customHeight="true" outlineLevel="0" collapsed="false">
      <c r="A146" s="7" t="s">
        <v>242</v>
      </c>
      <c r="C146" s="8" t="n">
        <v>2.5126703739515</v>
      </c>
      <c r="D146" s="8" t="n">
        <v>2.19870142418211</v>
      </c>
      <c r="E146" s="8" t="n">
        <v>2.39760398761174</v>
      </c>
      <c r="G146" s="29" t="n">
        <f aca="false">MAX(ABS(C146-C9/C6),ABS(D146-D9/D6),ABS(E146-E9/E6))</f>
        <v>0</v>
      </c>
    </row>
    <row r="147" customFormat="false" ht="15" hidden="false" customHeight="true" outlineLevel="0" collapsed="false">
      <c r="A147" s="7" t="s">
        <v>243</v>
      </c>
      <c r="C147" s="8" t="n">
        <v>0.036</v>
      </c>
      <c r="D147" s="8" t="n">
        <v>0.05</v>
      </c>
      <c r="E147" s="8" t="n">
        <v>0.071</v>
      </c>
    </row>
    <row r="148" customFormat="false" ht="15" hidden="false" customHeight="true" outlineLevel="0" collapsed="false">
      <c r="A148" s="7" t="s">
        <v>244</v>
      </c>
      <c r="C148" s="8" t="n">
        <v>0.057</v>
      </c>
      <c r="D148" s="8" t="n">
        <v>0.06</v>
      </c>
      <c r="E148" s="8" t="n">
        <v>0.098</v>
      </c>
      <c r="G148" s="10" t="n">
        <f aca="false">MAX(ABS(C148-C110),ABS(D148-D110),ABS(E148-E110))</f>
        <v>0.000472665289178789</v>
      </c>
    </row>
    <row r="149" customFormat="false" ht="15" hidden="false" customHeight="true" outlineLevel="0" collapsed="false">
      <c r="A149" s="7" t="s">
        <v>245</v>
      </c>
      <c r="C149" s="8" t="n">
        <v>0.873</v>
      </c>
      <c r="D149" s="8" t="n">
        <v>0.944</v>
      </c>
      <c r="E149" s="8" t="n">
        <v>1.034</v>
      </c>
    </row>
    <row r="150" customFormat="false" ht="15" hidden="false" customHeight="true" outlineLevel="0" collapsed="false">
      <c r="A150" s="7" t="s">
        <v>246</v>
      </c>
      <c r="C150" s="23" t="n">
        <f aca="false">C7/C149</f>
        <v>3471.66666666667</v>
      </c>
      <c r="D150" s="23" t="n">
        <f aca="false">D7/D149</f>
        <v>3679.18961864407</v>
      </c>
      <c r="E150" s="23" t="n">
        <f aca="false">E7/E149</f>
        <v>3816.50290135397</v>
      </c>
      <c r="H150" s="7" t="s">
        <v>247</v>
      </c>
    </row>
    <row r="151" customFormat="false" ht="15" hidden="false" customHeight="true" outlineLevel="0" collapsed="false">
      <c r="A151" s="7" t="s">
        <v>248</v>
      </c>
      <c r="C151" s="24" t="n">
        <f aca="false">C13*(1-Supuestos!$C$6)/C150</f>
        <v>0.035763398943831</v>
      </c>
      <c r="D151" s="24" t="n">
        <f aca="false">D13*(1-Supuestos!$C$6)/D150</f>
        <v>0.0504702989644861</v>
      </c>
      <c r="E151" s="24" t="n">
        <f aca="false">E13*(1-Supuestos!$C$6)/E150</f>
        <v>0.0709114094748857</v>
      </c>
    </row>
    <row r="153" customFormat="false" ht="15" hidden="false" customHeight="true" outlineLevel="0" collapsed="false">
      <c r="A153" s="4" t="s">
        <v>249</v>
      </c>
      <c r="B153" s="5"/>
      <c r="C153" s="5"/>
      <c r="D153" s="5"/>
      <c r="E153" s="5"/>
      <c r="F153" s="5"/>
      <c r="G153" s="5"/>
      <c r="H153" s="5"/>
      <c r="I153" s="5"/>
      <c r="J153" s="5"/>
    </row>
    <row r="154" customFormat="false" ht="15" hidden="false" customHeight="true" outlineLevel="0" collapsed="false">
      <c r="C154" s="6" t="s">
        <v>250</v>
      </c>
      <c r="D154" s="6" t="s">
        <v>251</v>
      </c>
      <c r="E154" s="6" t="s">
        <v>252</v>
      </c>
    </row>
    <row r="155" customFormat="false" ht="15" hidden="false" customHeight="true" outlineLevel="0" collapsed="false">
      <c r="A155" s="7" t="s">
        <v>253</v>
      </c>
      <c r="C155" s="20" t="n">
        <v>65096</v>
      </c>
      <c r="D155" s="20" t="n">
        <v>3846</v>
      </c>
      <c r="E155" s="24" t="n">
        <f aca="false">D155/C155</f>
        <v>0.0590819712424727</v>
      </c>
    </row>
    <row r="156" customFormat="false" ht="15" hidden="false" customHeight="true" outlineLevel="0" collapsed="false">
      <c r="A156" s="7" t="s">
        <v>254</v>
      </c>
      <c r="C156" s="20" t="n">
        <v>11677</v>
      </c>
      <c r="D156" s="20" t="n">
        <v>1180</v>
      </c>
      <c r="E156" s="24" t="n">
        <f aca="false">D156/C156</f>
        <v>0.101053352744712</v>
      </c>
    </row>
    <row r="157" customFormat="false" ht="15" hidden="false" customHeight="true" outlineLevel="0" collapsed="false">
      <c r="A157" s="7" t="s">
        <v>255</v>
      </c>
      <c r="C157" s="20" t="n">
        <v>2830</v>
      </c>
      <c r="D157" s="20" t="n">
        <v>518</v>
      </c>
      <c r="E157" s="24" t="n">
        <f aca="false">D157/C157</f>
        <v>0.183038869257951</v>
      </c>
    </row>
    <row r="158" customFormat="false" ht="15" hidden="false" customHeight="true" outlineLevel="0" collapsed="false">
      <c r="A158" s="7" t="s">
        <v>256</v>
      </c>
      <c r="C158" s="20" t="n">
        <v>2287</v>
      </c>
      <c r="D158" s="20" t="n">
        <v>431</v>
      </c>
      <c r="E158" s="24" t="n">
        <f aca="false">D158/C158</f>
        <v>0.188456493222562</v>
      </c>
    </row>
    <row r="159" customFormat="false" ht="15" hidden="false" customHeight="true" outlineLevel="0" collapsed="false">
      <c r="A159" s="7" t="s">
        <v>257</v>
      </c>
      <c r="C159" s="20" t="n">
        <v>481</v>
      </c>
      <c r="D159" s="20" t="n">
        <v>147</v>
      </c>
      <c r="E159" s="24" t="n">
        <f aca="false">D159/C159</f>
        <v>0.305613305613306</v>
      </c>
    </row>
    <row r="160" customFormat="false" ht="15" hidden="false" customHeight="true" outlineLevel="0" collapsed="false">
      <c r="A160" s="6" t="s">
        <v>258</v>
      </c>
      <c r="C160" s="30" t="n">
        <f aca="false">SUM(C155:C159)</f>
        <v>82371</v>
      </c>
      <c r="D160" s="30" t="n">
        <f aca="false">SUM(D155:D159)</f>
        <v>6122</v>
      </c>
      <c r="E160" s="31" t="n">
        <f aca="false">D160/C160</f>
        <v>0.0743222736157143</v>
      </c>
    </row>
    <row r="161" customFormat="false" ht="15" hidden="false" customHeight="true" outlineLevel="0" collapsed="false">
      <c r="A161" s="7" t="s">
        <v>259</v>
      </c>
      <c r="C161" s="20" t="n">
        <v>32497</v>
      </c>
      <c r="D161" s="20" t="n">
        <v>3846</v>
      </c>
      <c r="E161" s="24" t="n">
        <f aca="false">D161/C161</f>
        <v>0.118349386097178</v>
      </c>
    </row>
    <row r="162" customFormat="false" ht="15" hidden="false" customHeight="true" outlineLevel="0" collapsed="false">
      <c r="A162" s="7" t="s">
        <v>260</v>
      </c>
      <c r="C162" s="20" t="n">
        <v>7346</v>
      </c>
      <c r="D162" s="20" t="n">
        <v>1180</v>
      </c>
      <c r="E162" s="24" t="n">
        <f aca="false">D162/C162</f>
        <v>0.160631636264634</v>
      </c>
    </row>
    <row r="163" customFormat="false" ht="15" hidden="false" customHeight="true" outlineLevel="0" collapsed="false">
      <c r="A163" s="7" t="s">
        <v>261</v>
      </c>
      <c r="C163" s="20" t="n">
        <v>2344</v>
      </c>
      <c r="D163" s="20" t="n">
        <v>518</v>
      </c>
      <c r="E163" s="24" t="n">
        <f aca="false">D163/C163</f>
        <v>0.22098976109215</v>
      </c>
    </row>
    <row r="164" customFormat="false" ht="15" hidden="false" customHeight="true" outlineLevel="0" collapsed="false">
      <c r="A164" s="7" t="s">
        <v>262</v>
      </c>
      <c r="C164" s="20" t="n">
        <v>2287</v>
      </c>
      <c r="D164" s="20" t="n">
        <v>431</v>
      </c>
      <c r="E164" s="24" t="n">
        <f aca="false">D164/C164</f>
        <v>0.188456493222562</v>
      </c>
    </row>
    <row r="165" customFormat="false" ht="15" hidden="false" customHeight="true" outlineLevel="0" collapsed="false">
      <c r="A165" s="7" t="s">
        <v>263</v>
      </c>
      <c r="C165" s="20" t="n">
        <v>481</v>
      </c>
      <c r="D165" s="20" t="n">
        <v>147</v>
      </c>
      <c r="E165" s="24" t="n">
        <f aca="false">D165/C165</f>
        <v>0.305613305613306</v>
      </c>
    </row>
    <row r="166" customFormat="false" ht="15" hidden="false" customHeight="true" outlineLevel="0" collapsed="false">
      <c r="A166" s="6" t="s">
        <v>264</v>
      </c>
      <c r="C166" s="30" t="n">
        <f aca="false">SUM(C161:C165)</f>
        <v>44955</v>
      </c>
      <c r="D166" s="30" t="n">
        <f aca="false">SUM(D161:D165)</f>
        <v>6122</v>
      </c>
      <c r="E166" s="31" t="n">
        <f aca="false">D166/C166</f>
        <v>0.136180625069514</v>
      </c>
    </row>
    <row r="168" customFormat="false" ht="15" hidden="false" customHeight="true" outlineLevel="0" collapsed="false">
      <c r="A168" s="4" t="s">
        <v>265</v>
      </c>
      <c r="B168" s="5"/>
      <c r="C168" s="5"/>
      <c r="D168" s="5"/>
      <c r="E168" s="5"/>
      <c r="F168" s="5"/>
      <c r="G168" s="5"/>
      <c r="H168" s="5"/>
      <c r="I168" s="5"/>
      <c r="J168" s="5"/>
    </row>
    <row r="169" customFormat="false" ht="15" hidden="false" customHeight="true" outlineLevel="0" collapsed="false">
      <c r="D169" s="6" t="s">
        <v>113</v>
      </c>
      <c r="E169" s="6" t="s">
        <v>114</v>
      </c>
    </row>
    <row r="170" customFormat="false" ht="15" hidden="false" customHeight="true" outlineLevel="0" collapsed="false">
      <c r="A170" s="7" t="s">
        <v>131</v>
      </c>
      <c r="D170" s="23" t="n">
        <f aca="false">D22</f>
        <v>179.49</v>
      </c>
      <c r="E170" s="23" t="n">
        <f aca="false">E22</f>
        <v>314.734000000001</v>
      </c>
    </row>
    <row r="171" customFormat="false" ht="15" hidden="false" customHeight="true" outlineLevel="0" collapsed="false">
      <c r="A171" s="7" t="s">
        <v>266</v>
      </c>
      <c r="D171" s="23" t="n">
        <f aca="false">D12</f>
        <v>555.525</v>
      </c>
      <c r="E171" s="23" t="n">
        <f aca="false">E12</f>
        <v>582.269</v>
      </c>
    </row>
    <row r="172" customFormat="false" ht="15" hidden="false" customHeight="true" outlineLevel="0" collapsed="false">
      <c r="A172" s="7" t="s">
        <v>267</v>
      </c>
      <c r="D172" s="23" t="n">
        <f aca="false">-((D37+D38+D39+D41)-(C37+C38+C39+C41))</f>
        <v>-70.3030000000001</v>
      </c>
      <c r="E172" s="23" t="n">
        <f aca="false">-((E37+E38+E39+E41)-(D37+D38+D39+D41))</f>
        <v>-21.3349999999999</v>
      </c>
    </row>
    <row r="173" customFormat="false" ht="15" hidden="false" customHeight="true" outlineLevel="0" collapsed="false">
      <c r="A173" s="7" t="s">
        <v>268</v>
      </c>
      <c r="D173" s="23" t="n">
        <f aca="false">((D52+D53+D54+D55+D60)-(C52+C53+C54+C55+C60))</f>
        <v>18.967</v>
      </c>
      <c r="E173" s="23" t="n">
        <f aca="false">((E52+E53+E54+E55+E60)-(D52+D53+D54+D55+D60))</f>
        <v>57.555</v>
      </c>
    </row>
    <row r="174" customFormat="false" ht="15" hidden="false" customHeight="true" outlineLevel="0" collapsed="false">
      <c r="A174" s="7" t="s">
        <v>269</v>
      </c>
      <c r="D174" s="23" t="n">
        <f aca="false">((D56+D65-D40)-(C56+C65-C40))</f>
        <v>-11.0070000000001</v>
      </c>
      <c r="E174" s="23" t="n">
        <f aca="false">((E56+E65-E40)-(D56+D65-D40))</f>
        <v>-92.015</v>
      </c>
    </row>
    <row r="175" customFormat="false" ht="15" hidden="false" customHeight="true" outlineLevel="0" collapsed="false">
      <c r="A175" s="7" t="s">
        <v>270</v>
      </c>
      <c r="D175" s="23" t="n">
        <f aca="false">((D66+D67)-(C66+C67))</f>
        <v>54.095</v>
      </c>
      <c r="E175" s="23" t="n">
        <f aca="false">((E66+E67)-(D66+D67))</f>
        <v>20.821</v>
      </c>
    </row>
    <row r="176" customFormat="false" ht="15" hidden="false" customHeight="true" outlineLevel="0" collapsed="false">
      <c r="A176" s="6" t="s">
        <v>271</v>
      </c>
      <c r="D176" s="22" t="n">
        <f aca="false">SUM(D170:D175)</f>
        <v>726.767</v>
      </c>
      <c r="E176" s="22" t="n">
        <f aca="false">SUM(E170:E175)</f>
        <v>862.029000000001</v>
      </c>
    </row>
    <row r="177" customFormat="false" ht="15" hidden="false" customHeight="true" outlineLevel="0" collapsed="false">
      <c r="A177" s="7" t="s">
        <v>272</v>
      </c>
      <c r="D177" s="23" t="n">
        <f aca="false">-D97</f>
        <v>-741.955</v>
      </c>
      <c r="E177" s="23" t="n">
        <f aca="false">-E97</f>
        <v>-525.815</v>
      </c>
    </row>
    <row r="178" customFormat="false" ht="15" hidden="false" customHeight="true" outlineLevel="0" collapsed="false">
      <c r="A178" s="7" t="s">
        <v>273</v>
      </c>
      <c r="D178" s="23" t="n">
        <f aca="false">-(D49-C49)</f>
        <v>-4.21699999999998</v>
      </c>
      <c r="E178" s="23" t="n">
        <f aca="false">-(E49-D49)</f>
        <v>-5.86399999999998</v>
      </c>
    </row>
    <row r="179" customFormat="false" ht="15" hidden="false" customHeight="true" outlineLevel="0" collapsed="false">
      <c r="A179" s="7" t="s">
        <v>274</v>
      </c>
      <c r="D179" s="23" t="n">
        <f aca="false">-((D36+D46)-(C36+C46))</f>
        <v>-28.525</v>
      </c>
      <c r="E179" s="23" t="n">
        <f aca="false">-((E36+E46)-(D36+D46))</f>
        <v>237.56</v>
      </c>
    </row>
    <row r="180" customFormat="false" ht="15" hidden="false" customHeight="true" outlineLevel="0" collapsed="false">
      <c r="A180" s="7" t="s">
        <v>275</v>
      </c>
      <c r="D180" s="23" t="n">
        <f aca="false">-((D47+D48+D50)-(C47+C48+C50))</f>
        <v>20.783</v>
      </c>
      <c r="E180" s="23" t="n">
        <f aca="false">-((E47+E48+E50)-(D47+D48+D50))</f>
        <v>-7.88600000000002</v>
      </c>
    </row>
    <row r="181" customFormat="false" ht="15" hidden="false" customHeight="true" outlineLevel="0" collapsed="false">
      <c r="A181" s="6" t="s">
        <v>276</v>
      </c>
      <c r="D181" s="22" t="n">
        <f aca="false">SUM(D177:D180)</f>
        <v>-753.914</v>
      </c>
      <c r="E181" s="22" t="n">
        <f aca="false">SUM(E177:E180)</f>
        <v>-302.005</v>
      </c>
    </row>
    <row r="182" customFormat="false" ht="15" hidden="false" customHeight="true" outlineLevel="0" collapsed="false">
      <c r="A182" s="7" t="s">
        <v>277</v>
      </c>
      <c r="D182" s="23" t="n">
        <f aca="false">((D57+D62)-(C57+C62))</f>
        <v>-99.5460000000001</v>
      </c>
      <c r="E182" s="23" t="n">
        <f aca="false">((E57+E62)-(D57+D62))</f>
        <v>-34.5459999999999</v>
      </c>
    </row>
    <row r="183" customFormat="false" ht="15" hidden="false" customHeight="true" outlineLevel="0" collapsed="false">
      <c r="A183" s="7" t="s">
        <v>278</v>
      </c>
      <c r="D183" s="23" t="n">
        <f aca="false">((D58+D59+D63+D64)-(C58+C59+C63+C64))</f>
        <v>63.022</v>
      </c>
      <c r="E183" s="23" t="n">
        <f aca="false">((E58+E59+E63+E64)-(D58+D59+D63+D64))</f>
        <v>-248.696</v>
      </c>
    </row>
    <row r="184" customFormat="false" ht="15" hidden="false" customHeight="true" outlineLevel="0" collapsed="false">
      <c r="A184" s="7" t="s">
        <v>279</v>
      </c>
      <c r="D184" s="23" t="n">
        <f aca="false">(D68-C68)</f>
        <v>-5.171</v>
      </c>
      <c r="E184" s="23" t="n">
        <f aca="false">(E68-D68)</f>
        <v>6.696</v>
      </c>
    </row>
    <row r="185" customFormat="false" ht="15" hidden="false" customHeight="true" outlineLevel="0" collapsed="false">
      <c r="A185" s="7" t="s">
        <v>280</v>
      </c>
      <c r="D185" s="23" t="n">
        <f aca="false">(D72-C72)</f>
        <v>3.86500000000001</v>
      </c>
      <c r="E185" s="23" t="n">
        <f aca="false">(E72-D72)</f>
        <v>25.213</v>
      </c>
    </row>
    <row r="186" customFormat="false" ht="15" hidden="false" customHeight="true" outlineLevel="0" collapsed="false">
      <c r="A186" s="7" t="s">
        <v>281</v>
      </c>
      <c r="D186" s="23" t="n">
        <f aca="false">((D76-C76)-D22)</f>
        <v>68.8860000000004</v>
      </c>
      <c r="E186" s="23" t="n">
        <f aca="false">((E76-D76)-E22)</f>
        <v>-137.070000000001</v>
      </c>
    </row>
    <row r="187" customFormat="false" ht="15" hidden="false" customHeight="true" outlineLevel="0" collapsed="false">
      <c r="A187" s="6" t="s">
        <v>282</v>
      </c>
      <c r="D187" s="22" t="n">
        <f aca="false">SUM(D182:D186)</f>
        <v>31.0560000000003</v>
      </c>
      <c r="E187" s="22" t="n">
        <f aca="false">SUM(E182:E186)</f>
        <v>-388.403000000001</v>
      </c>
    </row>
    <row r="188" customFormat="false" ht="15" hidden="false" customHeight="true" outlineLevel="0" collapsed="false">
      <c r="A188" s="6" t="s">
        <v>283</v>
      </c>
      <c r="D188" s="22" t="n">
        <f aca="false">D176+D181+D187</f>
        <v>3.90899999999962</v>
      </c>
      <c r="E188" s="22" t="n">
        <f aca="false">E176+E181+E187</f>
        <v>171.621</v>
      </c>
    </row>
    <row r="189" customFormat="false" ht="15" hidden="false" customHeight="true" outlineLevel="0" collapsed="false">
      <c r="A189" s="7" t="s">
        <v>284</v>
      </c>
      <c r="D189" s="23" t="n">
        <f aca="false">D35-C35</f>
        <v>3.909</v>
      </c>
      <c r="E189" s="23" t="n">
        <f aca="false">E35-D35</f>
        <v>171.621</v>
      </c>
    </row>
    <row r="190" customFormat="false" ht="15" hidden="false" customHeight="true" outlineLevel="0" collapsed="false">
      <c r="A190" s="7" t="s">
        <v>285</v>
      </c>
      <c r="D190" s="23" t="n">
        <f aca="false">D188-D189</f>
        <v>-3.83693077310454E-013</v>
      </c>
      <c r="E190" s="23" t="n">
        <f aca="false">E188-E189</f>
        <v>0</v>
      </c>
      <c r="G190" s="23" t="n">
        <f aca="false">MAX(ABS(D190),ABS(E190))</f>
        <v>3.83693077310454E-013</v>
      </c>
    </row>
    <row r="191" customFormat="false" ht="15" hidden="false" customHeight="true" outlineLevel="0" collapsed="false">
      <c r="A191" s="6" t="s">
        <v>286</v>
      </c>
      <c r="D191" s="22" t="n">
        <f aca="false">D13*(1-Supuestos!$C$6)+D12-D97-((D37+D38+D39-D52-D53-D54)-(C37+C38+C39-C52-C53-C54))</f>
        <v>-55.4782000000006</v>
      </c>
      <c r="E191" s="22" t="n">
        <f aca="false">E13*(1-Supuestos!$C$6)+E12-E97-((E37+E38+E39-E52-E53-E54)-(D37+D38+D39-D52-D53-D54))</f>
        <v>345.997600000001</v>
      </c>
    </row>
    <row r="192" customFormat="false" ht="15" hidden="false" customHeight="true" outlineLevel="0" collapsed="false">
      <c r="A192" s="7" t="s">
        <v>287</v>
      </c>
      <c r="C192" s="23" t="n">
        <f aca="false">C37+C38+C39-C52-C53-C54</f>
        <v>78.787</v>
      </c>
      <c r="D192" s="23" t="n">
        <f aca="false">D37+D38+D39-D52-D53-D54</f>
        <v>133.525</v>
      </c>
      <c r="E192" s="23" t="n">
        <f aca="false">E37+E38+E39-E52-E53-E54</f>
        <v>114.615</v>
      </c>
    </row>
    <row r="193" customFormat="false" ht="15" hidden="false" customHeight="true" outlineLevel="0" collapsed="false">
      <c r="A193" s="6" t="s">
        <v>288</v>
      </c>
    </row>
    <row r="194" customFormat="false" ht="15" hidden="false" customHeight="true" outlineLevel="0" collapsed="false">
      <c r="A194" s="7" t="s">
        <v>76</v>
      </c>
      <c r="E194" s="32" t="n">
        <f aca="false">AVERAGE(C121:E121)</f>
        <v>0.0750472987891317</v>
      </c>
    </row>
    <row r="195" customFormat="false" ht="15" hidden="false" customHeight="true" outlineLevel="0" collapsed="false">
      <c r="A195" s="7" t="s">
        <v>215</v>
      </c>
      <c r="E195" s="32" t="n">
        <f aca="false">AVERAGE(C112:E112)</f>
        <v>41.6673186883831</v>
      </c>
    </row>
    <row r="196" customFormat="false" ht="15" hidden="false" customHeight="true" outlineLevel="0" collapsed="false">
      <c r="A196" s="7" t="s">
        <v>216</v>
      </c>
      <c r="E196" s="32" t="n">
        <f aca="false">AVERAGE(C113:E113)</f>
        <v>154.360212300958</v>
      </c>
    </row>
    <row r="197" customFormat="false" ht="15" hidden="false" customHeight="true" outlineLevel="0" collapsed="false">
      <c r="A197" s="7" t="s">
        <v>82</v>
      </c>
      <c r="E197" s="32" t="n">
        <f aca="false">AVERAGE(C116:E116)</f>
        <v>0.0138067509544899</v>
      </c>
    </row>
    <row r="198" customFormat="false" ht="15" hidden="false" customHeight="true" outlineLevel="0" collapsed="false">
      <c r="A198" s="7" t="s">
        <v>84</v>
      </c>
      <c r="E198" s="32" t="n">
        <f aca="false">AVERAGE(C117:E117)</f>
        <v>35.5364897898237</v>
      </c>
    </row>
    <row r="199" customFormat="false" ht="15" hidden="false" customHeight="true" outlineLevel="0" collapsed="false">
      <c r="A199" s="7" t="s">
        <v>86</v>
      </c>
      <c r="E199" s="32" t="n">
        <f aca="false">AVERAGE(C118:E118)</f>
        <v>14.0121369868444</v>
      </c>
    </row>
    <row r="200" customFormat="false" ht="15" hidden="false" customHeight="true" outlineLevel="0" collapsed="false">
      <c r="A200" s="7" t="s">
        <v>88</v>
      </c>
      <c r="E200" s="32" t="n">
        <f aca="false">AVERAGE(C119:E119)</f>
        <v>6.84505830201274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10" min="8" style="1" width="9"/>
    <col collapsed="false" customWidth="true" hidden="false" outlineLevel="0" max="11" min="11" style="1" width="10"/>
    <col collapsed="false" customWidth="true" hidden="false" outlineLevel="0" max="14" min="12" style="1" width="9"/>
    <col collapsed="false" customWidth="true" hidden="false" outlineLevel="0" max="17" min="15" style="1" width="10"/>
    <col collapsed="false" customWidth="true" hidden="false" outlineLevel="0" max="21" min="18" style="1" width="9"/>
  </cols>
  <sheetData>
    <row r="1" customFormat="false" ht="15.75" hidden="false" customHeight="true" outlineLevel="0" collapsed="false">
      <c r="A1" s="2" t="s">
        <v>289</v>
      </c>
    </row>
    <row r="2" customFormat="false" ht="15" hidden="false" customHeight="true" outlineLevel="0" collapsed="false">
      <c r="A2" s="3" t="s">
        <v>290</v>
      </c>
    </row>
    <row r="4" customFormat="false" ht="34.5" hidden="false" customHeight="true" outlineLevel="0" collapsed="false">
      <c r="A4" s="33" t="s">
        <v>291</v>
      </c>
      <c r="B4" s="33" t="s">
        <v>292</v>
      </c>
      <c r="C4" s="33" t="s">
        <v>293</v>
      </c>
      <c r="D4" s="33" t="s">
        <v>294</v>
      </c>
      <c r="E4" s="33" t="s">
        <v>295</v>
      </c>
      <c r="F4" s="33" t="s">
        <v>296</v>
      </c>
      <c r="G4" s="33" t="s">
        <v>297</v>
      </c>
      <c r="H4" s="33" t="s">
        <v>298</v>
      </c>
      <c r="I4" s="33" t="s">
        <v>121</v>
      </c>
      <c r="J4" s="33" t="s">
        <v>131</v>
      </c>
      <c r="K4" s="33" t="s">
        <v>299</v>
      </c>
      <c r="L4" s="33" t="s">
        <v>209</v>
      </c>
      <c r="M4" s="33" t="s">
        <v>208</v>
      </c>
      <c r="N4" s="33" t="s">
        <v>210</v>
      </c>
      <c r="O4" s="33" t="s">
        <v>300</v>
      </c>
      <c r="P4" s="33" t="s">
        <v>301</v>
      </c>
      <c r="Q4" s="33" t="s">
        <v>302</v>
      </c>
      <c r="R4" s="33" t="s">
        <v>303</v>
      </c>
      <c r="S4" s="33" t="s">
        <v>304</v>
      </c>
      <c r="T4" s="33" t="s">
        <v>305</v>
      </c>
    </row>
    <row r="5" customFormat="false" ht="15" hidden="false" customHeight="true" outlineLevel="0" collapsed="false">
      <c r="A5" s="7" t="s">
        <v>306</v>
      </c>
      <c r="B5" s="34" t="n">
        <v>118496.867</v>
      </c>
      <c r="C5" s="34" t="n">
        <v>69130</v>
      </c>
      <c r="D5" s="8" t="n">
        <v>0.368444035256422</v>
      </c>
      <c r="E5" s="8" t="n">
        <v>0.583390951593682</v>
      </c>
      <c r="F5" s="19" t="n">
        <v>0.86</v>
      </c>
      <c r="G5" s="34" t="n">
        <v>43882</v>
      </c>
      <c r="H5" s="34" t="n">
        <v>11795</v>
      </c>
      <c r="I5" s="34" t="n">
        <v>16949</v>
      </c>
      <c r="J5" s="34" t="n">
        <v>3794</v>
      </c>
      <c r="K5" s="24" t="n">
        <f aca="false">C5/(B5+C5)</f>
        <v>0.368444035256422</v>
      </c>
      <c r="L5" s="24" t="n">
        <f aca="false">H5/G5</f>
        <v>0.268789025112803</v>
      </c>
      <c r="M5" s="24" t="n">
        <f aca="false">I5/G5</f>
        <v>0.386240371906477</v>
      </c>
      <c r="N5" s="24" t="n">
        <f aca="false">J5/G5</f>
        <v>0.0864591404220409</v>
      </c>
      <c r="O5" s="35" t="n">
        <f aca="false">B5+C5</f>
        <v>187626.867</v>
      </c>
      <c r="P5" s="36" t="n">
        <f aca="false">O5/I5</f>
        <v>11.0700847837631</v>
      </c>
      <c r="Q5" s="36" t="n">
        <f aca="false">O5/H5</f>
        <v>15.9073223399746</v>
      </c>
      <c r="R5" s="27" t="n">
        <f aca="false">O5/G5</f>
        <v>4.27571366391687</v>
      </c>
      <c r="S5" s="36" t="n">
        <f aca="false">IF(J5&gt;0,B5/J5,"n.s.")</f>
        <v>31.232700843437</v>
      </c>
      <c r="T5" s="24" t="n">
        <f aca="false">C5/B5</f>
        <v>0.583390951593682</v>
      </c>
    </row>
    <row r="6" customFormat="false" ht="15" hidden="false" customHeight="true" outlineLevel="0" collapsed="false">
      <c r="A6" s="7" t="s">
        <v>307</v>
      </c>
      <c r="B6" s="34" t="n">
        <v>189469.94865</v>
      </c>
      <c r="C6" s="34" t="n">
        <v>79351.251</v>
      </c>
      <c r="D6" s="8" t="n">
        <v>0.295182266515118</v>
      </c>
      <c r="E6" s="8" t="n">
        <v>0.418806526129283</v>
      </c>
      <c r="F6" s="19" t="n">
        <v>0.89</v>
      </c>
      <c r="G6" s="34" t="n">
        <v>42684</v>
      </c>
      <c r="H6" s="34" t="n">
        <v>7020</v>
      </c>
      <c r="I6" s="34" t="n">
        <v>14099</v>
      </c>
      <c r="J6" s="34" t="n">
        <v>4102.8</v>
      </c>
      <c r="K6" s="24" t="n">
        <f aca="false">C6/(B6+C6)</f>
        <v>0.295182266515118</v>
      </c>
      <c r="L6" s="24" t="n">
        <f aca="false">H6/G6</f>
        <v>0.164464436322744</v>
      </c>
      <c r="M6" s="24" t="n">
        <f aca="false">I6/G6</f>
        <v>0.330311123606035</v>
      </c>
      <c r="N6" s="24" t="n">
        <f aca="false">J6/G6</f>
        <v>0.0961203261175148</v>
      </c>
      <c r="O6" s="35" t="n">
        <f aca="false">B6+C6</f>
        <v>268821.19965</v>
      </c>
      <c r="P6" s="36" t="n">
        <f aca="false">O6/I6</f>
        <v>19.0666855557132</v>
      </c>
      <c r="Q6" s="36" t="n">
        <f aca="false">O6/H6</f>
        <v>38.2936181837607</v>
      </c>
      <c r="R6" s="27" t="n">
        <f aca="false">O6/G6</f>
        <v>6.29793832935058</v>
      </c>
      <c r="S6" s="36" t="n">
        <f aca="false">IF(J6&gt;0,B6/J6,"n.s.")</f>
        <v>46.1806445963732</v>
      </c>
      <c r="T6" s="24" t="n">
        <f aca="false">C6/B6</f>
        <v>0.418806526129282</v>
      </c>
    </row>
    <row r="7" customFormat="false" ht="15" hidden="false" customHeight="true" outlineLevel="0" collapsed="false">
      <c r="A7" s="7" t="s">
        <v>308</v>
      </c>
      <c r="B7" s="34" t="n">
        <v>21078.873</v>
      </c>
      <c r="C7" s="34" t="n">
        <v>5080.008393</v>
      </c>
      <c r="D7" s="8" t="n">
        <v>0.1941982272361</v>
      </c>
      <c r="E7" s="8" t="n">
        <v>0.241</v>
      </c>
      <c r="F7" s="19" t="n">
        <v>1.17</v>
      </c>
      <c r="G7" s="34" t="n">
        <v>34698</v>
      </c>
      <c r="H7" s="34" t="n">
        <v>1631.22018518518</v>
      </c>
      <c r="I7" s="34" t="n">
        <v>9914</v>
      </c>
      <c r="J7" s="34" t="n">
        <v>-29.7420000000006</v>
      </c>
      <c r="K7" s="24" t="n">
        <f aca="false">C7/(B7+C7)</f>
        <v>0.1941982272361</v>
      </c>
      <c r="L7" s="24" t="n">
        <f aca="false">H7/G7</f>
        <v>0.0470119368604871</v>
      </c>
      <c r="M7" s="24" t="n">
        <f aca="false">I7/G7</f>
        <v>0.285722520029973</v>
      </c>
      <c r="N7" s="24" t="n">
        <f aca="false">J7/G7</f>
        <v>-0.000857167560089936</v>
      </c>
      <c r="O7" s="35" t="n">
        <f aca="false">B7+C7</f>
        <v>26158.881393</v>
      </c>
      <c r="P7" s="36" t="n">
        <f aca="false">O7/I7</f>
        <v>2.63857992666936</v>
      </c>
      <c r="Q7" s="36" t="n">
        <f aca="false">O7/H7</f>
        <v>16.0363889746928</v>
      </c>
      <c r="R7" s="27" t="n">
        <f aca="false">O7/G7</f>
        <v>0.75390170594847</v>
      </c>
      <c r="S7" s="36" t="str">
        <f aca="false">IF(J7&gt;0,B7/J7,"n.s.")</f>
        <v>n.s.</v>
      </c>
      <c r="T7" s="24" t="n">
        <f aca="false">C7/B7</f>
        <v>0.241</v>
      </c>
    </row>
    <row r="8" customFormat="false" ht="15" hidden="false" customHeight="true" outlineLevel="0" collapsed="false">
      <c r="A8" s="7" t="s">
        <v>309</v>
      </c>
      <c r="B8" s="34" t="n">
        <v>26285.354631</v>
      </c>
      <c r="C8" s="34" t="n">
        <v>8335.0859534901</v>
      </c>
      <c r="D8" s="8" t="n">
        <v>0.240756206818009</v>
      </c>
      <c r="E8" s="8" t="n">
        <v>0.3171</v>
      </c>
      <c r="F8" s="19" t="n">
        <v>0.97</v>
      </c>
      <c r="G8" s="34" t="n">
        <v>38896.458</v>
      </c>
      <c r="H8" s="34" t="n">
        <v>6701.8597134</v>
      </c>
      <c r="I8" s="34" t="n">
        <v>12614.1213294</v>
      </c>
      <c r="J8" s="34" t="n">
        <v>3383.991846</v>
      </c>
      <c r="K8" s="24" t="n">
        <f aca="false">C8/(B8+C8)</f>
        <v>0.240756206818009</v>
      </c>
      <c r="L8" s="24" t="n">
        <f aca="false">H8/G8</f>
        <v>0.1723</v>
      </c>
      <c r="M8" s="24" t="n">
        <f aca="false">I8/G8</f>
        <v>0.3243</v>
      </c>
      <c r="N8" s="24" t="n">
        <f aca="false">J8/G8</f>
        <v>0.087</v>
      </c>
      <c r="O8" s="35" t="n">
        <f aca="false">B8+C8</f>
        <v>34620.4405844901</v>
      </c>
      <c r="P8" s="36" t="n">
        <f aca="false">O8/I8</f>
        <v>2.7445780550564</v>
      </c>
      <c r="Q8" s="36" t="n">
        <f aca="false">O8/H8</f>
        <v>5.16579607228549</v>
      </c>
      <c r="R8" s="27" t="n">
        <f aca="false">O8/G8</f>
        <v>0.89006666325479</v>
      </c>
      <c r="S8" s="36" t="n">
        <f aca="false">IF(J8&gt;0,B8/J8,"n.s.")</f>
        <v>7.76755850108511</v>
      </c>
      <c r="T8" s="24" t="n">
        <f aca="false">C8/B8</f>
        <v>0.3171</v>
      </c>
    </row>
    <row r="9" customFormat="false" ht="15" hidden="false" customHeight="true" outlineLevel="0" collapsed="false">
      <c r="A9" s="7" t="s">
        <v>310</v>
      </c>
      <c r="B9" s="34" t="n">
        <v>7359.89929668</v>
      </c>
      <c r="C9" s="34" t="n">
        <v>3267.79528772592</v>
      </c>
      <c r="D9" s="8" t="n">
        <v>0.307479224376731</v>
      </c>
      <c r="E9" s="8" t="n">
        <v>0.443999999999999</v>
      </c>
      <c r="F9" s="19" t="n">
        <v>1.13</v>
      </c>
      <c r="G9" s="34" t="n">
        <v>4063.519</v>
      </c>
      <c r="H9" s="34" t="n">
        <v>510.05290488</v>
      </c>
      <c r="I9" s="34" t="n">
        <v>1028.4766589</v>
      </c>
      <c r="J9" s="34" t="n">
        <v>239.747621</v>
      </c>
      <c r="K9" s="24" t="n">
        <f aca="false">C9/(B9+C9)</f>
        <v>0.307479224376731</v>
      </c>
      <c r="L9" s="24" t="n">
        <f aca="false">H9/G9</f>
        <v>0.12552</v>
      </c>
      <c r="M9" s="24" t="n">
        <f aca="false">I9/G9</f>
        <v>0.2531</v>
      </c>
      <c r="N9" s="24" t="n">
        <f aca="false">J9/G9</f>
        <v>0.059</v>
      </c>
      <c r="O9" s="35" t="n">
        <f aca="false">B9+C9</f>
        <v>10627.6945844059</v>
      </c>
      <c r="P9" s="36" t="n">
        <f aca="false">O9/I9</f>
        <v>10.3334329393267</v>
      </c>
      <c r="Q9" s="36" t="n">
        <f aca="false">O9/H9</f>
        <v>20.8364553612459</v>
      </c>
      <c r="R9" s="27" t="n">
        <f aca="false">O9/G9</f>
        <v>2.61539187694359</v>
      </c>
      <c r="S9" s="36" t="n">
        <f aca="false">IF(J9&gt;0,B9/J9,"n.s.")</f>
        <v>30.6985290030469</v>
      </c>
      <c r="T9" s="24" t="n">
        <f aca="false">C9/B9</f>
        <v>0.444</v>
      </c>
    </row>
    <row r="11" customFormat="false" ht="15" hidden="false" customHeight="true" outlineLevel="0" collapsed="false">
      <c r="A11" s="6" t="s">
        <v>311</v>
      </c>
      <c r="D11" s="31" t="n">
        <f aca="false">AVERAGE(D5:D9)</f>
        <v>0.281211992040476</v>
      </c>
      <c r="E11" s="31" t="n">
        <f aca="false">AVERAGE(E5:E9)</f>
        <v>0.400859495544593</v>
      </c>
      <c r="F11" s="37" t="n">
        <f aca="false">AVERAGE(F5:F9)</f>
        <v>1.004</v>
      </c>
      <c r="K11" s="31" t="n">
        <f aca="false">AVERAGE(K5:K9)</f>
        <v>0.281211992040476</v>
      </c>
      <c r="L11" s="31" t="n">
        <f aca="false">AVERAGE(L5:L9)</f>
        <v>0.155617079659207</v>
      </c>
      <c r="M11" s="31" t="n">
        <f aca="false">AVERAGE(M5:M9)</f>
        <v>0.315934803108497</v>
      </c>
      <c r="N11" s="31" t="n">
        <f aca="false">AVERAGE(N5:N9)</f>
        <v>0.0655444597958932</v>
      </c>
      <c r="P11" s="38" t="n">
        <f aca="false">AVERAGE(P5:P9)</f>
        <v>9.17067225210574</v>
      </c>
      <c r="Q11" s="38" t="n">
        <f aca="false">AVERAGE(Q5:Q9)</f>
        <v>19.2479161863919</v>
      </c>
      <c r="R11" s="39" t="n">
        <f aca="false">AVERAGE(R5:R9)</f>
        <v>2.96660244788286</v>
      </c>
      <c r="S11" s="38" t="n">
        <f aca="false">AVERAGE(S5:S9)</f>
        <v>28.9698582359856</v>
      </c>
      <c r="T11" s="31" t="n">
        <f aca="false">AVERAGE(T5:T9)</f>
        <v>0.400859495544593</v>
      </c>
    </row>
    <row r="12" customFormat="false" ht="15" hidden="false" customHeight="true" outlineLevel="0" collapsed="false">
      <c r="A12" s="7" t="s">
        <v>312</v>
      </c>
      <c r="I12" s="24" t="n">
        <f aca="false">E11</f>
        <v>0.400859495544593</v>
      </c>
    </row>
    <row r="13" customFormat="false" ht="15" hidden="false" customHeight="true" outlineLevel="0" collapsed="false">
      <c r="A13" s="7" t="s">
        <v>313</v>
      </c>
      <c r="D13" s="24" t="n">
        <f aca="false">MEDIAN(D5:D9)</f>
        <v>0.295182266515118</v>
      </c>
      <c r="E13" s="24" t="n">
        <f aca="false">MEDIAN(E5:E9)</f>
        <v>0.418806526129283</v>
      </c>
      <c r="F13" s="26" t="n">
        <f aca="false">MEDIAN(F5:F9)</f>
        <v>0.97</v>
      </c>
      <c r="K13" s="24" t="n">
        <f aca="false">MEDIAN(K5:K9)</f>
        <v>0.295182266515118</v>
      </c>
      <c r="L13" s="24" t="n">
        <f aca="false">MEDIAN(L5:L9)</f>
        <v>0.164464436322744</v>
      </c>
      <c r="M13" s="24" t="n">
        <f aca="false">MEDIAN(M5:M9)</f>
        <v>0.3243</v>
      </c>
      <c r="N13" s="24" t="n">
        <f aca="false">MEDIAN(N5:N9)</f>
        <v>0.0864591404220409</v>
      </c>
      <c r="P13" s="36" t="n">
        <f aca="false">MEDIAN(P5:P9)</f>
        <v>10.3334329393267</v>
      </c>
      <c r="Q13" s="36" t="n">
        <f aca="false">MEDIAN(Q5:Q9)</f>
        <v>16.0363889746928</v>
      </c>
      <c r="R13" s="27" t="n">
        <f aca="false">MEDIAN(R5:R9)</f>
        <v>2.61539187694359</v>
      </c>
      <c r="S13" s="36" t="n">
        <f aca="false">MEDIAN(S5:S9)</f>
        <v>30.965614923242</v>
      </c>
      <c r="T13" s="24" t="n">
        <f aca="false">MEDIAN(T5:T9)</f>
        <v>0.418806526129282</v>
      </c>
    </row>
    <row r="14" customFormat="false" ht="15" hidden="false" customHeight="true" outlineLevel="0" collapsed="false">
      <c r="A14" s="7" t="s">
        <v>314</v>
      </c>
      <c r="L14" s="8" t="n">
        <v>0.156</v>
      </c>
      <c r="M14" s="8" t="n">
        <v>0.316</v>
      </c>
      <c r="N14" s="8" t="n">
        <v>0.066</v>
      </c>
    </row>
    <row r="15" customFormat="false" ht="15" hidden="false" customHeight="true" outlineLevel="0" collapsed="false">
      <c r="A15" s="7" t="s">
        <v>315</v>
      </c>
      <c r="L15" s="10" t="n">
        <f aca="false">L14-L11</f>
        <v>0.000382920340793291</v>
      </c>
      <c r="M15" s="10" t="n">
        <f aca="false">M14-M11</f>
        <v>6.51968915031387E-005</v>
      </c>
      <c r="N15" s="10" t="n">
        <f aca="false">N14-N11</f>
        <v>0.000455540204106847</v>
      </c>
      <c r="O15" s="10" t="n">
        <f aca="false">MAX(ABS(L15),ABS(M15),ABS(N15))</f>
        <v>0.000455540204106847</v>
      </c>
    </row>
    <row r="16" customFormat="false" ht="15" hidden="false" customHeight="true" outlineLevel="0" collapsed="false">
      <c r="A16" s="7" t="s">
        <v>316</v>
      </c>
      <c r="O16" s="10" t="n">
        <f aca="false">MAX(ABS(D5-K5),ABS(D6-K6),ABS(D7-K7),ABS(D8-K8),ABS(D9-K9))</f>
        <v>0</v>
      </c>
    </row>
    <row r="17" customFormat="false" ht="15" hidden="false" customHeight="true" outlineLevel="0" collapsed="false">
      <c r="A17" s="7" t="s">
        <v>317</v>
      </c>
      <c r="D17" s="24" t="n">
        <f aca="false">D11/(1-D11)</f>
        <v>0.391230778653045</v>
      </c>
      <c r="E17" s="24" t="n">
        <f aca="false">E11</f>
        <v>0.400859495544593</v>
      </c>
    </row>
    <row r="18" customFormat="false" ht="15" hidden="false" customHeight="true" outlineLevel="0" collapsed="false">
      <c r="A18" s="7" t="s">
        <v>318</v>
      </c>
      <c r="L18" s="25" t="n">
        <f aca="false">Historicos!E105</f>
        <v>0.11429949947596</v>
      </c>
      <c r="M18" s="25" t="n">
        <f aca="false">Historicos!E104</f>
        <v>0.261848928505544</v>
      </c>
      <c r="N18" s="25" t="n">
        <f aca="false">Historicos!E106</f>
        <v>0.0797549276987045</v>
      </c>
    </row>
    <row r="21" customFormat="false" ht="15" hidden="false" customHeight="true" outlineLevel="0" collapsed="false">
      <c r="A21" s="6" t="s">
        <v>319</v>
      </c>
    </row>
    <row r="22" customFormat="false" ht="34.5" hidden="false" customHeight="true" outlineLevel="0" collapsed="false">
      <c r="B22" s="33" t="s">
        <v>320</v>
      </c>
      <c r="C22" s="33" t="s">
        <v>321</v>
      </c>
      <c r="D22" s="33" t="s">
        <v>322</v>
      </c>
      <c r="E22" s="33" t="s">
        <v>323</v>
      </c>
    </row>
    <row r="23" customFormat="false" ht="15" hidden="false" customHeight="true" outlineLevel="0" collapsed="false">
      <c r="A23" s="7" t="str">
        <f aca="false">A5</f>
        <v>Universal Mobile</v>
      </c>
      <c r="B23" s="24" t="n">
        <f aca="false">1-K5</f>
        <v>0.631555964743578</v>
      </c>
      <c r="C23" s="32" t="n">
        <f aca="false">F5/(1+(1-Supuestos!$C$6)*T5)</f>
        <v>0.637020724136623</v>
      </c>
      <c r="D23" s="32" t="n">
        <f aca="false">F5*B23</f>
        <v>0.543138129679477</v>
      </c>
      <c r="E23" s="32" t="n">
        <f aca="false">F5*B23+Costo_Capital!$C$7*K5</f>
        <v>0.635249138493583</v>
      </c>
    </row>
    <row r="24" customFormat="false" ht="15" hidden="false" customHeight="true" outlineLevel="0" collapsed="false">
      <c r="A24" s="7" t="str">
        <f aca="false">A6</f>
        <v>Neuberger Wireless</v>
      </c>
      <c r="B24" s="24" t="n">
        <f aca="false">1-K6</f>
        <v>0.704817733484882</v>
      </c>
      <c r="C24" s="32" t="n">
        <f aca="false">F6/(1+(1-Supuestos!$C$6)*T6)</f>
        <v>0.711269432020203</v>
      </c>
      <c r="D24" s="32" t="n">
        <f aca="false">F6*B24</f>
        <v>0.627287782801545</v>
      </c>
      <c r="E24" s="32" t="n">
        <f aca="false">F6*B24+Costo_Capital!$C$7*K6</f>
        <v>0.701083349430325</v>
      </c>
    </row>
    <row r="25" customFormat="false" ht="15" hidden="false" customHeight="true" outlineLevel="0" collapsed="false">
      <c r="A25" s="7" t="str">
        <f aca="false">A7</f>
        <v>Agile Connections</v>
      </c>
      <c r="B25" s="24" t="n">
        <f aca="false">1-K7</f>
        <v>0.8058017727639</v>
      </c>
      <c r="C25" s="32" t="n">
        <f aca="false">F7/(1+(1-Supuestos!$C$6)*T7)</f>
        <v>1.02219115848331</v>
      </c>
      <c r="D25" s="32" t="n">
        <f aca="false">F7*B25</f>
        <v>0.942788074133763</v>
      </c>
      <c r="E25" s="32" t="n">
        <f aca="false">F7*B25+Costo_Capital!$C$7*K7</f>
        <v>0.991337630942788</v>
      </c>
    </row>
    <row r="26" customFormat="false" ht="15" hidden="false" customHeight="true" outlineLevel="0" collapsed="false">
      <c r="A26" s="7" t="str">
        <f aca="false">A8</f>
        <v>Big Country Communications</v>
      </c>
      <c r="B26" s="24" t="n">
        <f aca="false">1-K8</f>
        <v>0.759243793181991</v>
      </c>
      <c r="C26" s="32" t="n">
        <f aca="false">F8/(1+(1-Supuestos!$C$6)*T8)</f>
        <v>0.814947994555811</v>
      </c>
      <c r="D26" s="32" t="n">
        <f aca="false">F8*B26</f>
        <v>0.736466479386531</v>
      </c>
      <c r="E26" s="32" t="n">
        <f aca="false">F8*B26+Costo_Capital!$C$7*K8</f>
        <v>0.796655531091033</v>
      </c>
    </row>
    <row r="27" customFormat="false" ht="15" hidden="false" customHeight="true" outlineLevel="0" collapsed="false">
      <c r="A27" s="7" t="str">
        <f aca="false">A9</f>
        <v>Rocky Mountain Wireless</v>
      </c>
      <c r="B27" s="24" t="n">
        <f aca="false">1-K9</f>
        <v>0.692520775623269</v>
      </c>
      <c r="C27" s="32" t="n">
        <f aca="false">F9/(1+(1-Supuestos!$C$6)*T9)</f>
        <v>0.892293114339861</v>
      </c>
      <c r="D27" s="32" t="n">
        <f aca="false">F9*B27</f>
        <v>0.782548476454294</v>
      </c>
      <c r="E27" s="32" t="n">
        <f aca="false">F9*B27+Costo_Capital!$C$7*K9</f>
        <v>0.859418282548476</v>
      </c>
    </row>
    <row r="28" customFormat="false" ht="15" hidden="false" customHeight="true" outlineLevel="0" collapsed="false">
      <c r="A28" s="6" t="s">
        <v>311</v>
      </c>
      <c r="B28" s="24" t="n">
        <f aca="false">AVERAGE(B23:B27)</f>
        <v>0.718788007959524</v>
      </c>
      <c r="C28" s="40" t="n">
        <f aca="false">AVERAGE(C23:C27)</f>
        <v>0.815544484707162</v>
      </c>
      <c r="D28" s="40" t="n">
        <f aca="false">AVERAGE(D23:D27)</f>
        <v>0.726445788491122</v>
      </c>
      <c r="E28" s="40" t="n">
        <f aca="false">AVERAGE(E23:E27)</f>
        <v>0.796748786501241</v>
      </c>
    </row>
    <row r="29" customFormat="false" ht="15" hidden="false" customHeight="true" outlineLevel="0" collapsed="false">
      <c r="A29" s="7" t="s">
        <v>313</v>
      </c>
      <c r="C29" s="32" t="n">
        <f aca="false">MEDIAN(C23:C27)</f>
        <v>0.814947994555811</v>
      </c>
      <c r="D29" s="32" t="n">
        <f aca="false">MEDIAN(D23:D27)</f>
        <v>0.736466479386531</v>
      </c>
      <c r="E29" s="32" t="n">
        <f aca="false">MEDIAN(E23:E27)</f>
        <v>0.796655531091033</v>
      </c>
    </row>
    <row r="30" customFormat="false" ht="15" hidden="false" customHeight="true" outlineLevel="0" collapsed="false">
      <c r="A30" s="3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4"/>
    <col collapsed="false" customWidth="true" hidden="false" outlineLevel="0" max="7" min="3" style="1" width="12"/>
    <col collapsed="false" customWidth="true" hidden="false" outlineLevel="0" max="8" min="8" style="1" width="70"/>
  </cols>
  <sheetData>
    <row r="1" customFormat="false" ht="15.75" hidden="false" customHeight="true" outlineLevel="0" collapsed="false">
      <c r="A1" s="2" t="s">
        <v>325</v>
      </c>
    </row>
    <row r="3" customFormat="false" ht="15" hidden="false" customHeight="true" outlineLevel="0" collapsed="false">
      <c r="A3" s="4" t="s">
        <v>326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true" outlineLevel="0" collapsed="false">
      <c r="A4" s="7" t="s">
        <v>327</v>
      </c>
      <c r="C4" s="17" t="n">
        <f aca="false">Supuestos!$C$9</f>
        <v>0.0425</v>
      </c>
    </row>
    <row r="5" customFormat="false" ht="15" hidden="false" customHeight="true" outlineLevel="0" collapsed="false">
      <c r="A5" s="7" t="s">
        <v>328</v>
      </c>
      <c r="C5" s="17" t="n">
        <f aca="false">Supuestos!$C$10</f>
        <v>0.05</v>
      </c>
    </row>
    <row r="6" customFormat="false" ht="15" hidden="false" customHeight="true" outlineLevel="0" collapsed="false">
      <c r="A6" s="7" t="s">
        <v>329</v>
      </c>
      <c r="C6" s="17" t="n">
        <f aca="false">Supuestos!$C$7</f>
        <v>0.055</v>
      </c>
    </row>
    <row r="7" customFormat="false" ht="15" hidden="false" customHeight="true" outlineLevel="0" collapsed="false">
      <c r="A7" s="7" t="s">
        <v>330</v>
      </c>
      <c r="C7" s="32" t="n">
        <f aca="false">(C6-C4)/C5</f>
        <v>0.25</v>
      </c>
      <c r="H7" s="7" t="s">
        <v>331</v>
      </c>
    </row>
    <row r="8" customFormat="false" ht="15" hidden="false" customHeight="true" outlineLevel="0" collapsed="false">
      <c r="A8" s="7" t="s">
        <v>5</v>
      </c>
      <c r="C8" s="25" t="n">
        <f aca="false">Supuestos!$C$6</f>
        <v>0.4</v>
      </c>
    </row>
    <row r="9" customFormat="false" ht="15" hidden="false" customHeight="true" outlineLevel="0" collapsed="false">
      <c r="A9" s="7" t="s">
        <v>332</v>
      </c>
      <c r="C9" s="32" t="n">
        <f aca="false">CHOOSE(Supuestos!$C$22,Comparables!C28,Comparables!D28,Comparables!E28)</f>
        <v>0.796748786501241</v>
      </c>
    </row>
    <row r="10" customFormat="false" ht="15" hidden="false" customHeight="true" outlineLevel="0" collapsed="false">
      <c r="A10" s="7" t="s">
        <v>333</v>
      </c>
      <c r="C10" s="10" t="n">
        <f aca="false">C4+C9*C5</f>
        <v>0.0823374393250621</v>
      </c>
    </row>
    <row r="11" customFormat="false" ht="15" hidden="false" customHeight="true" outlineLevel="0" collapsed="false">
      <c r="A11" s="7" t="s">
        <v>334</v>
      </c>
      <c r="C11" s="24" t="n">
        <f aca="false">CHOOSE(Supuestos!$C$23,Comparables!$D$11,Comparables!$D$13,Supuestos!$C$12)</f>
        <v>0.281211992040476</v>
      </c>
    </row>
    <row r="12" customFormat="false" ht="15" hidden="false" customHeight="true" outlineLevel="0" collapsed="false">
      <c r="A12" s="7" t="s">
        <v>335</v>
      </c>
      <c r="C12" s="24" t="n">
        <f aca="false">C11/(1-C11)</f>
        <v>0.391230778653045</v>
      </c>
    </row>
    <row r="13" customFormat="false" ht="15" hidden="false" customHeight="true" outlineLevel="0" collapsed="false">
      <c r="A13" s="7" t="s">
        <v>336</v>
      </c>
      <c r="C13" s="32" t="n">
        <f aca="false">IF(Supuestos!$C$22=3,C7,0)</f>
        <v>0.25</v>
      </c>
    </row>
    <row r="14" customFormat="false" ht="15" hidden="false" customHeight="true" outlineLevel="0" collapsed="false">
      <c r="A14" s="7" t="s">
        <v>337</v>
      </c>
      <c r="C14" s="32" t="n">
        <f aca="false">IF(Supuestos!$C$22=1,C9*(1+(1-C8)*C12),C9+(C9-C13)*C12)</f>
        <v>1.01065373997173</v>
      </c>
    </row>
    <row r="15" customFormat="false" ht="15" hidden="false" customHeight="true" outlineLevel="0" collapsed="false">
      <c r="A15" s="7" t="s">
        <v>338</v>
      </c>
      <c r="C15" s="10" t="n">
        <f aca="false">C4+C14*C5</f>
        <v>0.0930326869985865</v>
      </c>
    </row>
    <row r="16" customFormat="false" ht="15" hidden="false" customHeight="true" outlineLevel="0" collapsed="false">
      <c r="A16" s="7" t="s">
        <v>339</v>
      </c>
      <c r="C16" s="10" t="n">
        <f aca="false">(1-C11)*C15+C11*C6*(1-C8)</f>
        <v>0.0761507755001716</v>
      </c>
    </row>
    <row r="17" customFormat="false" ht="15" hidden="false" customHeight="true" outlineLevel="0" collapsed="false">
      <c r="A17" s="7" t="s">
        <v>340</v>
      </c>
      <c r="C17" s="10" t="n">
        <f aca="false">C10-C8*C6*C11</f>
        <v>0.0761507755001716</v>
      </c>
    </row>
    <row r="18" customFormat="false" ht="15" hidden="false" customHeight="true" outlineLevel="0" collapsed="false">
      <c r="A18" s="7" t="s">
        <v>341</v>
      </c>
      <c r="C18" s="9" t="n">
        <v>0</v>
      </c>
      <c r="H18" s="7" t="s">
        <v>342</v>
      </c>
    </row>
    <row r="19" customFormat="false" ht="15" hidden="false" customHeight="true" outlineLevel="0" collapsed="false">
      <c r="A19" s="7" t="s">
        <v>343</v>
      </c>
      <c r="C19" s="9" t="n">
        <v>0</v>
      </c>
    </row>
    <row r="20" customFormat="false" ht="15" hidden="false" customHeight="true" outlineLevel="0" collapsed="false">
      <c r="A20" s="7" t="s">
        <v>344</v>
      </c>
      <c r="C20" s="9" t="n">
        <v>0</v>
      </c>
    </row>
    <row r="22" customFormat="false" ht="15" hidden="false" customHeight="true" outlineLevel="0" collapsed="false">
      <c r="A22" s="4" t="s">
        <v>345</v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true" outlineLevel="0" collapsed="false">
      <c r="A23" s="6" t="s">
        <v>346</v>
      </c>
      <c r="B23" s="6"/>
      <c r="C23" s="6" t="s">
        <v>3</v>
      </c>
      <c r="D23" s="6" t="s">
        <v>347</v>
      </c>
      <c r="E23" s="6" t="s">
        <v>348</v>
      </c>
      <c r="F23" s="6" t="s">
        <v>349</v>
      </c>
      <c r="G23" s="6" t="s">
        <v>350</v>
      </c>
      <c r="H23" s="6" t="s">
        <v>351</v>
      </c>
    </row>
    <row r="24" customFormat="false" ht="15" hidden="false" customHeight="true" outlineLevel="0" collapsed="false">
      <c r="A24" s="7" t="s">
        <v>352</v>
      </c>
      <c r="C24" s="41" t="n">
        <f aca="false">Comparables!$C$28</f>
        <v>0.815544484707162</v>
      </c>
      <c r="D24" s="10" t="n">
        <f aca="false">$C$4+C24*$C$5</f>
        <v>0.0832772242353581</v>
      </c>
      <c r="E24" s="10" t="n">
        <f aca="false">(1-$C$11)*($C$4+C24*(1+(1-$C$8)*$C$12)*$C$5)+$C$11*$C$6*(1-$C$8)</f>
        <v>0.0760188925281311</v>
      </c>
      <c r="F24" s="23" t="n">
        <f aca="false">NPV(D24,Proyeccion!$D$28:$H$28)+Proyeccion!$H$40+Proyeccion!$I$28/((E24)-Proyeccion!$H$34)/(1+D24)^5+Valoracion!$C$20-Valoracion!$C$26</f>
        <v>6747.88954367315</v>
      </c>
      <c r="G24" s="23" t="n">
        <f aca="false">F24-Valoracion!$C$33</f>
        <v>-10.4541705909505</v>
      </c>
      <c r="H24" s="7" t="s">
        <v>353</v>
      </c>
    </row>
    <row r="25" customFormat="false" ht="15" hidden="false" customHeight="true" outlineLevel="0" collapsed="false">
      <c r="A25" s="7" t="s">
        <v>354</v>
      </c>
      <c r="C25" s="41" t="n">
        <f aca="false">Comparables!$D$28</f>
        <v>0.726445788491122</v>
      </c>
      <c r="D25" s="10" t="n">
        <f aca="false">$C$4+C25*$C$5</f>
        <v>0.0788222894245561</v>
      </c>
      <c r="E25" s="10" t="n">
        <f aca="false">$C$4+C25*$C$5-$C$8*$C$6*$C$11</f>
        <v>0.0726356255996656</v>
      </c>
      <c r="F25" s="23" t="n">
        <f aca="false">NPV(D25,Proyeccion!$D$28:$H$28)+Proyeccion!$H$40+Proyeccion!$I$28/((E25)-Proyeccion!$H$34)/(1+D25)^5+Valoracion!$C$20-Valoracion!$C$26</f>
        <v>7208.34361429014</v>
      </c>
      <c r="G25" s="23" t="n">
        <f aca="false">F25-Valoracion!$C$33</f>
        <v>449.999900026038</v>
      </c>
      <c r="H25" s="7" t="s">
        <v>355</v>
      </c>
    </row>
    <row r="26" customFormat="false" ht="15" hidden="false" customHeight="true" outlineLevel="0" collapsed="false">
      <c r="A26" s="7" t="s">
        <v>356</v>
      </c>
      <c r="C26" s="41" t="n">
        <f aca="false">Comparables!$E$28</f>
        <v>0.796748786501241</v>
      </c>
      <c r="D26" s="10" t="n">
        <f aca="false">$C$4+C26*$C$5</f>
        <v>0.0823374393250621</v>
      </c>
      <c r="E26" s="10" t="n">
        <f aca="false">$C$4+C26*$C$5-$C$8*$C$6*$C$11</f>
        <v>0.0761507755001716</v>
      </c>
      <c r="F26" s="23" t="n">
        <f aca="false">NPV(D26,Proyeccion!$D$28:$H$28)+Proyeccion!$H$40+Proyeccion!$I$28/((E26)-Proyeccion!$H$34)/(1+D26)^5+Valoracion!$C$20-Valoracion!$C$26</f>
        <v>6758.3437142641</v>
      </c>
      <c r="G26" s="23" t="n">
        <f aca="false">F26-Valoracion!$C$33</f>
        <v>0</v>
      </c>
      <c r="H26" s="7" t="s">
        <v>357</v>
      </c>
    </row>
    <row r="27" customFormat="false" ht="15" hidden="false" customHeight="true" outlineLevel="0" collapsed="false">
      <c r="A27" s="7" t="s">
        <v>358</v>
      </c>
      <c r="C27" s="9" t="n">
        <v>0.04</v>
      </c>
      <c r="D27" s="10" t="n">
        <f aca="false">$C$4+C27*Comparables!$D$28+($C$6-$C$4)*(1-Comparables!$B$28)</f>
        <v>0.0750729814401508</v>
      </c>
      <c r="E27" s="10" t="n">
        <f aca="false">D27-$C$8*$C$6*$C$11</f>
        <v>0.0688863176152604</v>
      </c>
      <c r="F27" s="23" t="n">
        <f aca="false">NPV(D27,Proyeccion!$D$28:$H$28)+Proyeccion!$H$40+Proyeccion!$I$28/((E27)-Proyeccion!$H$34)/(1+D27)^5+Valoracion!$C$20-Valoracion!$C$26</f>
        <v>7773.07063991356</v>
      </c>
      <c r="G27" s="23" t="n">
        <f aca="false">F27-Valoracion!$C$33</f>
        <v>1014.72692564945</v>
      </c>
      <c r="H27" s="7" t="s">
        <v>359</v>
      </c>
    </row>
    <row r="28" customFormat="false" ht="15" hidden="false" customHeight="true" outlineLevel="0" collapsed="false">
      <c r="A28" s="7" t="s">
        <v>360</v>
      </c>
      <c r="C28" s="9" t="n">
        <v>0.06</v>
      </c>
      <c r="D28" s="10" t="n">
        <f aca="false">$C$4+C28*Comparables!$D$28+($C$6-$C$4)*(1-Comparables!$B$28)</f>
        <v>0.0896018972099733</v>
      </c>
      <c r="E28" s="10" t="n">
        <f aca="false">D28-$C$8*$C$6*$C$11</f>
        <v>0.0834152333850828</v>
      </c>
      <c r="F28" s="23" t="n">
        <f aca="false">NPV(D28,Proyeccion!$D$28:$H$28)+Proyeccion!$H$40+Proyeccion!$I$28/((E28)-Proyeccion!$H$34)/(1+D28)^5+Valoracion!$C$20-Valoracion!$C$26</f>
        <v>6008.38358566957</v>
      </c>
      <c r="G28" s="23" t="n">
        <f aca="false">F28-Valoracion!$C$33</f>
        <v>-749.960128594534</v>
      </c>
      <c r="H28" s="7" t="s">
        <v>361</v>
      </c>
    </row>
    <row r="29" customFormat="false" ht="15" hidden="false" customHeight="true" outlineLevel="0" collapsed="false">
      <c r="A29" s="7" t="s">
        <v>362</v>
      </c>
      <c r="C29" s="17" t="n">
        <f aca="false">Comparables!$D$11</f>
        <v>0.281211992040476</v>
      </c>
      <c r="D29" s="10" t="n">
        <f aca="false">$C$10</f>
        <v>0.0823374393250621</v>
      </c>
      <c r="E29" s="10" t="n">
        <f aca="false">$C$10-$C$8*$C$6*C29</f>
        <v>0.0761507755001716</v>
      </c>
      <c r="F29" s="23" t="n">
        <f aca="false">NPV(D29,Proyeccion!$D$28:$H$28)+Proyeccion!$H$40+Proyeccion!$I$28/((E29)-Proyeccion!$H$34)/(1+D29)^5+Valoracion!$C$20-Valoracion!$C$26</f>
        <v>6758.3437142641</v>
      </c>
      <c r="G29" s="23" t="n">
        <f aca="false">F29-Valoracion!$C$33</f>
        <v>0</v>
      </c>
      <c r="H29" s="7" t="s">
        <v>363</v>
      </c>
    </row>
    <row r="30" customFormat="false" ht="15" hidden="false" customHeight="true" outlineLevel="0" collapsed="false">
      <c r="A30" s="7" t="s">
        <v>364</v>
      </c>
      <c r="C30" s="17" t="n">
        <f aca="false">Comparables!$D$13</f>
        <v>0.295182266515118</v>
      </c>
      <c r="D30" s="10" t="n">
        <f aca="false">$C$10</f>
        <v>0.0823374393250621</v>
      </c>
      <c r="E30" s="10" t="n">
        <f aca="false">$C$10-$C$8*$C$6*C30</f>
        <v>0.0758434294617295</v>
      </c>
      <c r="F30" s="23" t="n">
        <f aca="false">NPV(D30,Proyeccion!$D$28:$H$28)+Proyeccion!$H$40+Proyeccion!$I$28/((E30)-Proyeccion!$H$34)/(1+D30)^5+Valoracion!$C$20-Valoracion!$C$26</f>
        <v>6787.51867950944</v>
      </c>
      <c r="G30" s="23" t="n">
        <f aca="false">F30-Valoracion!$C$33</f>
        <v>29.17496524534</v>
      </c>
      <c r="H30" s="7" t="s">
        <v>365</v>
      </c>
    </row>
    <row r="31" customFormat="false" ht="15" hidden="false" customHeight="true" outlineLevel="0" collapsed="false">
      <c r="A31" s="7" t="s">
        <v>366</v>
      </c>
      <c r="C31" s="17" t="n">
        <f aca="false">Supuestos!$C$12</f>
        <v>0.5</v>
      </c>
      <c r="D31" s="10" t="n">
        <f aca="false">$C$10</f>
        <v>0.0823374393250621</v>
      </c>
      <c r="E31" s="10" t="n">
        <f aca="false">$C$10-$C$8*$C$6*C31</f>
        <v>0.0713374393250621</v>
      </c>
      <c r="F31" s="23" t="n">
        <f aca="false">NPV(D31,Proyeccion!$D$28:$H$28)+Proyeccion!$H$40+Proyeccion!$I$28/((E31)-Proyeccion!$H$34)/(1+D31)^5+Valoracion!$C$20-Valoracion!$C$26</f>
        <v>7262.54161996891</v>
      </c>
      <c r="G31" s="23" t="n">
        <f aca="false">F31-Valoracion!$C$33</f>
        <v>504.197905704808</v>
      </c>
      <c r="H31" s="7" t="s">
        <v>367</v>
      </c>
    </row>
    <row r="32" customFormat="false" ht="15" hidden="false" customHeight="true" outlineLevel="0" collapsed="false">
      <c r="A32" s="7" t="s">
        <v>368</v>
      </c>
      <c r="C32" s="9" t="n">
        <v>0</v>
      </c>
      <c r="D32" s="10" t="n">
        <f aca="false">$C$10+C32</f>
        <v>0.0823374393250621</v>
      </c>
      <c r="E32" s="10" t="n">
        <f aca="false">$C$16+C32</f>
        <v>0.0761507755001716</v>
      </c>
      <c r="F32" s="23" t="n">
        <f aca="false">NPV(D32,Proyeccion!$D$28:$H$28)+Proyeccion!$H$40+Proyeccion!$I$28/((E32)-Proyeccion!$H$34)/(1+D32)^5+Valoracion!$C$20-Valoracion!$C$26</f>
        <v>6758.3437142641</v>
      </c>
      <c r="G32" s="23" t="n">
        <f aca="false">F32-Valoracion!$C$33</f>
        <v>0</v>
      </c>
      <c r="H32" s="7" t="s">
        <v>369</v>
      </c>
    </row>
    <row r="34" customFormat="false" ht="15" hidden="false" customHeight="true" outlineLevel="0" collapsed="false">
      <c r="A34" s="42" t="s">
        <v>370</v>
      </c>
    </row>
    <row r="35" customFormat="false" ht="15" hidden="false" customHeight="true" outlineLevel="0" collapsed="false">
      <c r="A35" s="42" t="s">
        <v>371</v>
      </c>
    </row>
    <row r="36" customFormat="false" ht="15" hidden="false" customHeight="true" outlineLevel="0" collapsed="false">
      <c r="A36" s="42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6" min="4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8"/>
    <col collapsed="false" customWidth="true" hidden="false" outlineLevel="0" max="10" min="10" style="1" width="4"/>
    <col collapsed="false" customWidth="true" hidden="false" outlineLevel="0" max="11" min="11" style="1" width="30"/>
    <col collapsed="false" customWidth="true" hidden="false" outlineLevel="0" max="16" min="12" style="1" width="12"/>
  </cols>
  <sheetData>
    <row r="1" customFormat="false" ht="15.75" hidden="false" customHeight="true" outlineLevel="0" collapsed="false">
      <c r="A1" s="2" t="s">
        <v>373</v>
      </c>
    </row>
    <row r="3" customFormat="false" ht="15" hidden="false" customHeight="true" outlineLevel="0" collapsed="false">
      <c r="A3" s="7" t="s">
        <v>374</v>
      </c>
      <c r="C3" s="43" t="n">
        <f aca="false">Historicos!E11</f>
        <v>1033.325</v>
      </c>
      <c r="E3" s="7" t="s">
        <v>375</v>
      </c>
    </row>
    <row r="4" customFormat="false" ht="15" hidden="false" customHeight="true" outlineLevel="0" collapsed="false">
      <c r="A4" s="7" t="s">
        <v>376</v>
      </c>
      <c r="C4" s="23" t="n">
        <f aca="false">C3/Supuestos!$C$11</f>
        <v>206.665</v>
      </c>
    </row>
    <row r="5" customFormat="false" ht="15" hidden="false" customHeight="true" outlineLevel="0" collapsed="false">
      <c r="A5" s="7" t="s">
        <v>377</v>
      </c>
      <c r="C5" s="22" t="n">
        <f aca="false">C4/Supuestos!$C$7</f>
        <v>3757.54545454546</v>
      </c>
    </row>
    <row r="6" customFormat="false" ht="15" hidden="false" customHeight="true" outlineLevel="0" collapsed="false">
      <c r="A6" s="7" t="s">
        <v>378</v>
      </c>
      <c r="C6" s="23" t="n">
        <f aca="false">PMT(Supuestos!$C$7/12,Supuestos!$C$13,-C5)</f>
        <v>40.7792422449141</v>
      </c>
    </row>
    <row r="8" customFormat="false" ht="15" hidden="false" customHeight="true" outlineLevel="0" collapsed="false">
      <c r="A8" s="6" t="s">
        <v>379</v>
      </c>
      <c r="B8" s="6" t="s">
        <v>380</v>
      </c>
      <c r="C8" s="6" t="s">
        <v>381</v>
      </c>
      <c r="D8" s="6" t="s">
        <v>382</v>
      </c>
      <c r="E8" s="6" t="s">
        <v>383</v>
      </c>
      <c r="F8" s="6" t="s">
        <v>384</v>
      </c>
      <c r="G8" s="6" t="s">
        <v>385</v>
      </c>
      <c r="H8" s="6" t="s">
        <v>386</v>
      </c>
      <c r="I8" s="6" t="s">
        <v>57</v>
      </c>
      <c r="K8" s="6" t="s">
        <v>387</v>
      </c>
      <c r="L8" s="6" t="s">
        <v>58</v>
      </c>
      <c r="M8" s="6" t="s">
        <v>59</v>
      </c>
      <c r="N8" s="6" t="s">
        <v>60</v>
      </c>
      <c r="O8" s="6" t="s">
        <v>61</v>
      </c>
      <c r="P8" s="6" t="s">
        <v>62</v>
      </c>
    </row>
    <row r="9" customFormat="false" ht="15" hidden="false" customHeight="true" outlineLevel="0" collapsed="false">
      <c r="A9" s="44" t="n">
        <v>1</v>
      </c>
      <c r="B9" s="45" t="n">
        <f aca="false">DATE(2008,A9+1,0)</f>
        <v>39478</v>
      </c>
      <c r="C9" s="23" t="n">
        <f aca="false">C5</f>
        <v>3757.54545454546</v>
      </c>
      <c r="D9" s="23" t="n">
        <f aca="false">$C$6</f>
        <v>40.7792422449141</v>
      </c>
      <c r="E9" s="23" t="n">
        <f aca="false">C9*Supuestos!$C$7/12</f>
        <v>17.2220833333333</v>
      </c>
      <c r="F9" s="23" t="n">
        <f aca="false">D9-E9</f>
        <v>23.5571589115808</v>
      </c>
      <c r="G9" s="23" t="n">
        <f aca="false">IF(A9=Supuestos!$C$14,C9-F9,0)</f>
        <v>0</v>
      </c>
      <c r="H9" s="23" t="n">
        <f aca="false">C9-F9-G9</f>
        <v>3733.98829563388</v>
      </c>
      <c r="I9" s="44" t="n">
        <f aca="false">YEAR(B9)</f>
        <v>2008</v>
      </c>
      <c r="K9" s="7" t="s">
        <v>388</v>
      </c>
      <c r="L9" s="23" t="n">
        <f aca="false">SUMIF($I$9:$I$68,2008,$E$9:$E$68)</f>
        <v>199.428958364936</v>
      </c>
      <c r="M9" s="23" t="n">
        <f aca="false">SUMIF($I$9:$I$68,2009,$E$9:$E$68)</f>
        <v>183.07508156707</v>
      </c>
      <c r="N9" s="23" t="n">
        <f aca="false">SUMIF($I$9:$I$68,2010,$E$9:$E$68)</f>
        <v>165.798717570027</v>
      </c>
      <c r="O9" s="23" t="n">
        <f aca="false">SUMIF($I$9:$I$68,2011,$E$9:$E$68)</f>
        <v>147.54783084467</v>
      </c>
      <c r="P9" s="23" t="n">
        <f aca="false">SUMIF($I$9:$I$68,2012,$E$9:$E$68)</f>
        <v>128.267450648996</v>
      </c>
    </row>
    <row r="10" customFormat="false" ht="15" hidden="false" customHeight="true" outlineLevel="0" collapsed="false">
      <c r="A10" s="44" t="n">
        <v>2</v>
      </c>
      <c r="B10" s="45" t="n">
        <f aca="false">DATE(2008,A10+1,0)</f>
        <v>39507</v>
      </c>
      <c r="C10" s="23" t="n">
        <f aca="false">H9</f>
        <v>3733.98829563388</v>
      </c>
      <c r="D10" s="23" t="n">
        <f aca="false">$C$6</f>
        <v>40.7792422449141</v>
      </c>
      <c r="E10" s="23" t="n">
        <f aca="false">C10*Supuestos!$C$7/12</f>
        <v>17.1141130216553</v>
      </c>
      <c r="F10" s="23" t="n">
        <f aca="false">D10-E10</f>
        <v>23.6651292232589</v>
      </c>
      <c r="G10" s="23" t="n">
        <f aca="false">IF(A10=Supuestos!$C$14,C10-F10,0)</f>
        <v>0</v>
      </c>
      <c r="H10" s="23" t="n">
        <f aca="false">C10-F10-G10</f>
        <v>3710.32316641062</v>
      </c>
      <c r="I10" s="44" t="n">
        <f aca="false">YEAR(B10)</f>
        <v>2008</v>
      </c>
      <c r="K10" s="7" t="s">
        <v>389</v>
      </c>
      <c r="L10" s="23" t="n">
        <f aca="false">SUMIF($I$9:$I$68,2008,$F$9:$F$68)</f>
        <v>289.921948574033</v>
      </c>
      <c r="M10" s="23" t="n">
        <f aca="false">SUMIF($I$9:$I$68,2009,$F$9:$F$68)</f>
        <v>306.275825371899</v>
      </c>
      <c r="N10" s="23" t="n">
        <f aca="false">SUMIF($I$9:$I$68,2010,$F$9:$F$68)</f>
        <v>323.552189368942</v>
      </c>
      <c r="O10" s="23" t="n">
        <f aca="false">SUMIF($I$9:$I$68,2011,$F$9:$F$68)</f>
        <v>341.8030760943</v>
      </c>
      <c r="P10" s="23" t="n">
        <f aca="false">SUMIF($I$9:$I$68,2012,$F$9:$F$68)</f>
        <v>361.083456289973</v>
      </c>
    </row>
    <row r="11" customFormat="false" ht="15" hidden="false" customHeight="true" outlineLevel="0" collapsed="false">
      <c r="A11" s="44" t="n">
        <v>3</v>
      </c>
      <c r="B11" s="45" t="n">
        <f aca="false">DATE(2008,A11+1,0)</f>
        <v>39538</v>
      </c>
      <c r="C11" s="23" t="n">
        <f aca="false">H10</f>
        <v>3710.32316641062</v>
      </c>
      <c r="D11" s="23" t="n">
        <f aca="false">$C$6</f>
        <v>40.7792422449141</v>
      </c>
      <c r="E11" s="23" t="n">
        <f aca="false">C11*Supuestos!$C$7/12</f>
        <v>17.0056478460487</v>
      </c>
      <c r="F11" s="23" t="n">
        <f aca="false">D11-E11</f>
        <v>23.7735943988655</v>
      </c>
      <c r="G11" s="23" t="n">
        <f aca="false">IF(A11=Supuestos!$C$14,C11-F11,0)</f>
        <v>0</v>
      </c>
      <c r="H11" s="23" t="n">
        <f aca="false">C11-F11-G11</f>
        <v>3686.54957201175</v>
      </c>
      <c r="I11" s="44" t="n">
        <f aca="false">YEAR(B11)</f>
        <v>2008</v>
      </c>
      <c r="K11" s="7" t="s">
        <v>390</v>
      </c>
      <c r="L11" s="23" t="n">
        <f aca="false">SUMIF($I$9:$I$68,2008,$G$9:$G$68)</f>
        <v>0</v>
      </c>
      <c r="M11" s="23" t="n">
        <f aca="false">SUMIF($I$9:$I$68,2009,$G$9:$G$68)</f>
        <v>0</v>
      </c>
      <c r="N11" s="23" t="n">
        <f aca="false">SUMIF($I$9:$I$68,2010,$G$9:$G$68)</f>
        <v>0</v>
      </c>
      <c r="O11" s="23" t="n">
        <f aca="false">SUMIF($I$9:$I$68,2011,$G$9:$G$68)</f>
        <v>0</v>
      </c>
      <c r="P11" s="23" t="n">
        <f aca="false">SUMIF($I$9:$I$68,2012,$G$9:$G$68)</f>
        <v>2134.90895884631</v>
      </c>
    </row>
    <row r="12" customFormat="false" ht="15" hidden="false" customHeight="true" outlineLevel="0" collapsed="false">
      <c r="A12" s="44" t="n">
        <v>4</v>
      </c>
      <c r="B12" s="45" t="n">
        <f aca="false">DATE(2008,A12+1,0)</f>
        <v>39568</v>
      </c>
      <c r="C12" s="23" t="n">
        <f aca="false">H11</f>
        <v>3686.54957201175</v>
      </c>
      <c r="D12" s="23" t="n">
        <f aca="false">$C$6</f>
        <v>40.7792422449141</v>
      </c>
      <c r="E12" s="23" t="n">
        <f aca="false">C12*Supuestos!$C$7/12</f>
        <v>16.8966855383872</v>
      </c>
      <c r="F12" s="23" t="n">
        <f aca="false">D12-E12</f>
        <v>23.8825567065269</v>
      </c>
      <c r="G12" s="23" t="n">
        <f aca="false">IF(A12=Supuestos!$C$14,C12-F12,0)</f>
        <v>0</v>
      </c>
      <c r="H12" s="23" t="n">
        <f aca="false">C12-F12-G12</f>
        <v>3662.66701530522</v>
      </c>
      <c r="I12" s="44" t="n">
        <f aca="false">YEAR(B12)</f>
        <v>2008</v>
      </c>
      <c r="K12" s="7" t="s">
        <v>391</v>
      </c>
      <c r="L12" s="23" t="n">
        <f aca="false">INDEX($C$9:$C$68,12)-INDEX($F$9:$F$68,12)</f>
        <v>3467.62350597142</v>
      </c>
      <c r="M12" s="23" t="n">
        <f aca="false">INDEX($C$9:$C$68,24)-INDEX($F$9:$F$68,24)</f>
        <v>3161.34768059953</v>
      </c>
      <c r="N12" s="23" t="n">
        <f aca="false">INDEX($C$9:$C$68,36)-INDEX($F$9:$F$68,36)</f>
        <v>2837.79549123058</v>
      </c>
      <c r="O12" s="23" t="n">
        <f aca="false">INDEX($C$9:$C$68,48)-INDEX($F$9:$F$68,48)</f>
        <v>2495.99241513628</v>
      </c>
      <c r="P12" s="23" t="n">
        <f aca="false">INDEX($C$9:$C$68,60)-INDEX($F$9:$F$68,60)</f>
        <v>2134.90895884631</v>
      </c>
    </row>
    <row r="13" customFormat="false" ht="15" hidden="false" customHeight="true" outlineLevel="0" collapsed="false">
      <c r="A13" s="44" t="n">
        <v>5</v>
      </c>
      <c r="B13" s="45" t="n">
        <f aca="false">DATE(2008,A13+1,0)</f>
        <v>39599</v>
      </c>
      <c r="C13" s="23" t="n">
        <f aca="false">H12</f>
        <v>3662.66701530522</v>
      </c>
      <c r="D13" s="23" t="n">
        <f aca="false">$C$6</f>
        <v>40.7792422449141</v>
      </c>
      <c r="E13" s="23" t="n">
        <f aca="false">C13*Supuestos!$C$7/12</f>
        <v>16.7872238201489</v>
      </c>
      <c r="F13" s="23" t="n">
        <f aca="false">D13-E13</f>
        <v>23.9920184247652</v>
      </c>
      <c r="G13" s="23" t="n">
        <f aca="false">IF(A13=Supuestos!$C$14,C13-F13,0)</f>
        <v>0</v>
      </c>
      <c r="H13" s="23" t="n">
        <f aca="false">C13-F13-G13</f>
        <v>3638.67499688046</v>
      </c>
      <c r="I13" s="44" t="n">
        <f aca="false">YEAR(B13)</f>
        <v>2008</v>
      </c>
      <c r="K13" s="7" t="s">
        <v>392</v>
      </c>
      <c r="L13" s="23" t="n">
        <f aca="false">L9*Supuestos!$C$6</f>
        <v>79.7715833459745</v>
      </c>
      <c r="M13" s="23" t="n">
        <f aca="false">M9*Supuestos!$C$6</f>
        <v>73.230032626828</v>
      </c>
      <c r="N13" s="23" t="n">
        <f aca="false">N9*Supuestos!$C$6</f>
        <v>66.3194870280109</v>
      </c>
      <c r="O13" s="23" t="n">
        <f aca="false">O9*Supuestos!$C$6</f>
        <v>59.0191323378679</v>
      </c>
      <c r="P13" s="23" t="n">
        <f aca="false">P9*Supuestos!$C$6</f>
        <v>51.3069802595984</v>
      </c>
    </row>
    <row r="14" customFormat="false" ht="15" hidden="false" customHeight="true" outlineLevel="0" collapsed="false">
      <c r="A14" s="44" t="n">
        <v>6</v>
      </c>
      <c r="B14" s="45" t="n">
        <f aca="false">DATE(2008,A14+1,0)</f>
        <v>39629</v>
      </c>
      <c r="C14" s="23" t="n">
        <f aca="false">H13</f>
        <v>3638.67499688046</v>
      </c>
      <c r="D14" s="23" t="n">
        <f aca="false">$C$6</f>
        <v>40.7792422449141</v>
      </c>
      <c r="E14" s="23" t="n">
        <f aca="false">C14*Supuestos!$C$7/12</f>
        <v>16.6772604023688</v>
      </c>
      <c r="F14" s="23" t="n">
        <f aca="false">D14-E14</f>
        <v>24.1019818425453</v>
      </c>
      <c r="G14" s="23" t="n">
        <f aca="false">IF(A14=Supuestos!$C$14,C14-F14,0)</f>
        <v>0</v>
      </c>
      <c r="H14" s="23" t="n">
        <f aca="false">C14-F14-G14</f>
        <v>3614.57301503791</v>
      </c>
      <c r="I14" s="44" t="n">
        <f aca="false">YEAR(B14)</f>
        <v>2008</v>
      </c>
      <c r="K14" s="7" t="s">
        <v>393</v>
      </c>
      <c r="L14" s="34" t="n">
        <v>3468</v>
      </c>
      <c r="M14" s="34" t="n">
        <v>3161</v>
      </c>
      <c r="N14" s="34" t="n">
        <v>2838</v>
      </c>
      <c r="O14" s="34" t="n">
        <v>2496</v>
      </c>
      <c r="P14" s="34" t="n">
        <v>2166</v>
      </c>
    </row>
    <row r="15" customFormat="false" ht="15" hidden="false" customHeight="true" outlineLevel="0" collapsed="false">
      <c r="A15" s="44" t="n">
        <v>7</v>
      </c>
      <c r="B15" s="45" t="n">
        <f aca="false">DATE(2008,A15+1,0)</f>
        <v>39660</v>
      </c>
      <c r="C15" s="23" t="n">
        <f aca="false">H14</f>
        <v>3614.57301503791</v>
      </c>
      <c r="D15" s="23" t="n">
        <f aca="false">$C$6</f>
        <v>40.7792422449141</v>
      </c>
      <c r="E15" s="23" t="n">
        <f aca="false">C15*Supuestos!$C$7/12</f>
        <v>16.5667929855904</v>
      </c>
      <c r="F15" s="23" t="n">
        <f aca="false">D15-E15</f>
        <v>24.2124492593237</v>
      </c>
      <c r="G15" s="23" t="n">
        <f aca="false">IF(A15=Supuestos!$C$14,C15-F15,0)</f>
        <v>0</v>
      </c>
      <c r="H15" s="23" t="n">
        <f aca="false">C15-F15-G15</f>
        <v>3590.36056577859</v>
      </c>
      <c r="I15" s="44" t="n">
        <f aca="false">YEAR(B15)</f>
        <v>2008</v>
      </c>
      <c r="K15" s="7" t="s">
        <v>394</v>
      </c>
      <c r="L15" s="23" t="n">
        <f aca="false">L16-L14</f>
        <v>-0.376494028576417</v>
      </c>
      <c r="M15" s="23" t="n">
        <f aca="false">M16-M14</f>
        <v>0.34768059952512</v>
      </c>
      <c r="N15" s="23" t="n">
        <f aca="false">N16-N14</f>
        <v>-0.204508769417316</v>
      </c>
      <c r="O15" s="23" t="n">
        <f aca="false">O16-O14</f>
        <v>-0.00758486371614708</v>
      </c>
      <c r="P15" s="23" t="n">
        <f aca="false">P16-P14</f>
        <v>-0.238207126114503</v>
      </c>
      <c r="Q15" s="23" t="n">
        <f aca="false">MAX(ABS(L15),ABS(M15),ABS(N15),ABS(O15),ABS(P15))</f>
        <v>0.376494028576417</v>
      </c>
    </row>
    <row r="16" customFormat="false" ht="15" hidden="false" customHeight="true" outlineLevel="0" collapsed="false">
      <c r="A16" s="44" t="n">
        <v>8</v>
      </c>
      <c r="B16" s="45" t="n">
        <f aca="false">DATE(2008,A16+1,0)</f>
        <v>39691</v>
      </c>
      <c r="C16" s="23" t="n">
        <f aca="false">H15</f>
        <v>3590.36056577859</v>
      </c>
      <c r="D16" s="23" t="n">
        <f aca="false">$C$6</f>
        <v>40.7792422449141</v>
      </c>
      <c r="E16" s="23" t="n">
        <f aca="false">C16*Supuestos!$C$7/12</f>
        <v>16.4558192598185</v>
      </c>
      <c r="F16" s="23" t="n">
        <f aca="false">D16-E16</f>
        <v>24.3234229850956</v>
      </c>
      <c r="G16" s="23" t="n">
        <f aca="false">IF(A16=Supuestos!$C$14,C16-F16,0)</f>
        <v>0</v>
      </c>
      <c r="H16" s="23" t="n">
        <f aca="false">C16-F16-G16</f>
        <v>3566.03714279349</v>
      </c>
      <c r="I16" s="44" t="n">
        <f aca="false">YEAR(B16)</f>
        <v>2008</v>
      </c>
      <c r="K16" s="7" t="s">
        <v>395</v>
      </c>
      <c r="L16" s="23" t="n">
        <f aca="false">INDEX($H$9:$H$68,12)</f>
        <v>3467.62350597142</v>
      </c>
      <c r="M16" s="23" t="n">
        <f aca="false">INDEX($H$9:$H$68,24)</f>
        <v>3161.34768059953</v>
      </c>
      <c r="N16" s="23" t="n">
        <f aca="false">INDEX($H$9:$H$68,36)</f>
        <v>2837.79549123058</v>
      </c>
      <c r="O16" s="23" t="n">
        <f aca="false">INDEX($H$9:$H$68,48)</f>
        <v>2495.99241513628</v>
      </c>
      <c r="P16" s="23" t="n">
        <f aca="false">INDEX($C$9:$C$68,60)</f>
        <v>2165.76179287389</v>
      </c>
    </row>
    <row r="17" customFormat="false" ht="15" hidden="false" customHeight="true" outlineLevel="0" collapsed="false">
      <c r="A17" s="44" t="n">
        <v>9</v>
      </c>
      <c r="B17" s="45" t="n">
        <f aca="false">DATE(2008,A17+1,0)</f>
        <v>39721</v>
      </c>
      <c r="C17" s="23" t="n">
        <f aca="false">H16</f>
        <v>3566.03714279349</v>
      </c>
      <c r="D17" s="23" t="n">
        <f aca="false">$C$6</f>
        <v>40.7792422449141</v>
      </c>
      <c r="E17" s="23" t="n">
        <f aca="false">C17*Supuestos!$C$7/12</f>
        <v>16.3443369044702</v>
      </c>
      <c r="F17" s="23" t="n">
        <f aca="false">D17-E17</f>
        <v>24.4349053404439</v>
      </c>
      <c r="G17" s="23" t="n">
        <f aca="false">IF(A17=Supuestos!$C$14,C17-F17,0)</f>
        <v>0</v>
      </c>
      <c r="H17" s="23" t="n">
        <f aca="false">C17-F17-G17</f>
        <v>3541.60223745305</v>
      </c>
      <c r="I17" s="44" t="n">
        <f aca="false">YEAR(B17)</f>
        <v>2008</v>
      </c>
      <c r="K17" s="7" t="s">
        <v>396</v>
      </c>
      <c r="L17" s="27" t="n">
        <f aca="false">C3/L9</f>
        <v>5.18141902997413</v>
      </c>
    </row>
    <row r="18" customFormat="false" ht="15" hidden="false" customHeight="true" outlineLevel="0" collapsed="false">
      <c r="A18" s="44" t="n">
        <v>10</v>
      </c>
      <c r="B18" s="45" t="n">
        <f aca="false">DATE(2008,A18+1,0)</f>
        <v>39752</v>
      </c>
      <c r="C18" s="23" t="n">
        <f aca="false">H17</f>
        <v>3541.60223745305</v>
      </c>
      <c r="D18" s="23" t="n">
        <f aca="false">$C$6</f>
        <v>40.7792422449141</v>
      </c>
      <c r="E18" s="23" t="n">
        <f aca="false">C18*Supuestos!$C$7/12</f>
        <v>16.2323435883265</v>
      </c>
      <c r="F18" s="23" t="n">
        <f aca="false">D18-E18</f>
        <v>24.5468986565876</v>
      </c>
      <c r="G18" s="23" t="n">
        <f aca="false">IF(A18=Supuestos!$C$14,C18-F18,0)</f>
        <v>0</v>
      </c>
      <c r="H18" s="23" t="n">
        <f aca="false">C18-F18-G18</f>
        <v>3517.05533879646</v>
      </c>
      <c r="I18" s="44" t="n">
        <f aca="false">YEAR(B18)</f>
        <v>2008</v>
      </c>
      <c r="K18" s="3" t="s">
        <v>397</v>
      </c>
    </row>
    <row r="19" customFormat="false" ht="15" hidden="false" customHeight="true" outlineLevel="0" collapsed="false">
      <c r="A19" s="44" t="n">
        <v>11</v>
      </c>
      <c r="B19" s="45" t="n">
        <f aca="false">DATE(2008,A19+1,0)</f>
        <v>39782</v>
      </c>
      <c r="C19" s="23" t="n">
        <f aca="false">H18</f>
        <v>3517.05533879646</v>
      </c>
      <c r="D19" s="23" t="n">
        <f aca="false">$C$6</f>
        <v>40.7792422449141</v>
      </c>
      <c r="E19" s="23" t="n">
        <f aca="false">C19*Supuestos!$C$7/12</f>
        <v>16.1198369694838</v>
      </c>
      <c r="F19" s="23" t="n">
        <f aca="false">D19-E19</f>
        <v>24.6594052754303</v>
      </c>
      <c r="G19" s="23" t="n">
        <f aca="false">IF(A19=Supuestos!$C$14,C19-F19,0)</f>
        <v>0</v>
      </c>
      <c r="H19" s="23" t="n">
        <f aca="false">C19-F19-G19</f>
        <v>3492.39593352103</v>
      </c>
      <c r="I19" s="44" t="n">
        <f aca="false">YEAR(B19)</f>
        <v>2008</v>
      </c>
    </row>
    <row r="20" customFormat="false" ht="15" hidden="false" customHeight="true" outlineLevel="0" collapsed="false">
      <c r="A20" s="44" t="n">
        <v>12</v>
      </c>
      <c r="B20" s="45" t="n">
        <f aca="false">DATE(2008,A20+1,0)</f>
        <v>39813</v>
      </c>
      <c r="C20" s="23" t="n">
        <f aca="false">H19</f>
        <v>3492.39593352103</v>
      </c>
      <c r="D20" s="23" t="n">
        <f aca="false">$C$6</f>
        <v>40.7792422449141</v>
      </c>
      <c r="E20" s="23" t="n">
        <f aca="false">C20*Supuestos!$C$7/12</f>
        <v>16.0068146953047</v>
      </c>
      <c r="F20" s="23" t="n">
        <f aca="false">D20-E20</f>
        <v>24.7724275496094</v>
      </c>
      <c r="G20" s="23" t="n">
        <f aca="false">IF(A20=Supuestos!$C$14,C20-F20,0)</f>
        <v>0</v>
      </c>
      <c r="H20" s="23" t="n">
        <f aca="false">C20-F20-G20</f>
        <v>3467.62350597142</v>
      </c>
      <c r="I20" s="44" t="n">
        <f aca="false">YEAR(B20)</f>
        <v>2008</v>
      </c>
    </row>
    <row r="21" customFormat="false" ht="15" hidden="false" customHeight="true" outlineLevel="0" collapsed="false">
      <c r="A21" s="44" t="n">
        <v>13</v>
      </c>
      <c r="B21" s="45" t="n">
        <f aca="false">DATE(2008,A21+1,0)</f>
        <v>39844</v>
      </c>
      <c r="C21" s="23" t="n">
        <f aca="false">H20</f>
        <v>3467.62350597142</v>
      </c>
      <c r="D21" s="23" t="n">
        <f aca="false">$C$6</f>
        <v>40.7792422449141</v>
      </c>
      <c r="E21" s="23" t="n">
        <f aca="false">C21*Supuestos!$C$7/12</f>
        <v>15.893274402369</v>
      </c>
      <c r="F21" s="23" t="n">
        <f aca="false">D21-E21</f>
        <v>24.8859678425451</v>
      </c>
      <c r="G21" s="23" t="n">
        <f aca="false">IF(A21=Supuestos!$C$14,C21-F21,0)</f>
        <v>0</v>
      </c>
      <c r="H21" s="23" t="n">
        <f aca="false">C21-F21-G21</f>
        <v>3442.73753812888</v>
      </c>
      <c r="I21" s="44" t="n">
        <f aca="false">YEAR(B21)</f>
        <v>2009</v>
      </c>
    </row>
    <row r="22" customFormat="false" ht="15" hidden="false" customHeight="true" outlineLevel="0" collapsed="false">
      <c r="A22" s="44" t="n">
        <v>14</v>
      </c>
      <c r="B22" s="45" t="n">
        <f aca="false">DATE(2008,A22+1,0)</f>
        <v>39872</v>
      </c>
      <c r="C22" s="23" t="n">
        <f aca="false">H21</f>
        <v>3442.73753812888</v>
      </c>
      <c r="D22" s="23" t="n">
        <f aca="false">$C$6</f>
        <v>40.7792422449141</v>
      </c>
      <c r="E22" s="23" t="n">
        <f aca="false">C22*Supuestos!$C$7/12</f>
        <v>15.779213716424</v>
      </c>
      <c r="F22" s="23" t="n">
        <f aca="false">D22-E22</f>
        <v>25.0000285284901</v>
      </c>
      <c r="G22" s="23" t="n">
        <f aca="false">IF(A22=Supuestos!$C$14,C22-F22,0)</f>
        <v>0</v>
      </c>
      <c r="H22" s="23" t="n">
        <f aca="false">C22-F22-G22</f>
        <v>3417.73750960039</v>
      </c>
      <c r="I22" s="44" t="n">
        <f aca="false">YEAR(B22)</f>
        <v>2009</v>
      </c>
    </row>
    <row r="23" customFormat="false" ht="15" hidden="false" customHeight="true" outlineLevel="0" collapsed="false">
      <c r="A23" s="44" t="n">
        <v>15</v>
      </c>
      <c r="B23" s="45" t="n">
        <f aca="false">DATE(2008,A23+1,0)</f>
        <v>39903</v>
      </c>
      <c r="C23" s="23" t="n">
        <f aca="false">H22</f>
        <v>3417.73750960039</v>
      </c>
      <c r="D23" s="23" t="n">
        <f aca="false">$C$6</f>
        <v>40.7792422449141</v>
      </c>
      <c r="E23" s="23" t="n">
        <f aca="false">C23*Supuestos!$C$7/12</f>
        <v>15.6646302523351</v>
      </c>
      <c r="F23" s="23" t="n">
        <f aca="false">D23-E23</f>
        <v>25.114611992579</v>
      </c>
      <c r="G23" s="23" t="n">
        <f aca="false">IF(A23=Supuestos!$C$14,C23-F23,0)</f>
        <v>0</v>
      </c>
      <c r="H23" s="23" t="n">
        <f aca="false">C23-F23-G23</f>
        <v>3392.62289760781</v>
      </c>
      <c r="I23" s="44" t="n">
        <f aca="false">YEAR(B23)</f>
        <v>2009</v>
      </c>
    </row>
    <row r="24" customFormat="false" ht="15" hidden="false" customHeight="true" outlineLevel="0" collapsed="false">
      <c r="A24" s="44" t="n">
        <v>16</v>
      </c>
      <c r="B24" s="45" t="n">
        <f aca="false">DATE(2008,A24+1,0)</f>
        <v>39933</v>
      </c>
      <c r="C24" s="23" t="n">
        <f aca="false">H23</f>
        <v>3392.62289760781</v>
      </c>
      <c r="D24" s="23" t="n">
        <f aca="false">$C$6</f>
        <v>40.7792422449141</v>
      </c>
      <c r="E24" s="23" t="n">
        <f aca="false">C24*Supuestos!$C$7/12</f>
        <v>15.5495216140358</v>
      </c>
      <c r="F24" s="23" t="n">
        <f aca="false">D24-E24</f>
        <v>25.2297206308783</v>
      </c>
      <c r="G24" s="23" t="n">
        <f aca="false">IF(A24=Supuestos!$C$14,C24-F24,0)</f>
        <v>0</v>
      </c>
      <c r="H24" s="23" t="n">
        <f aca="false">C24-F24-G24</f>
        <v>3367.39317697693</v>
      </c>
      <c r="I24" s="44" t="n">
        <f aca="false">YEAR(B24)</f>
        <v>2009</v>
      </c>
    </row>
    <row r="25" customFormat="false" ht="15" hidden="false" customHeight="true" outlineLevel="0" collapsed="false">
      <c r="A25" s="44" t="n">
        <v>17</v>
      </c>
      <c r="B25" s="45" t="n">
        <f aca="false">DATE(2008,A25+1,0)</f>
        <v>39964</v>
      </c>
      <c r="C25" s="23" t="n">
        <f aca="false">H24</f>
        <v>3367.39317697693</v>
      </c>
      <c r="D25" s="23" t="n">
        <f aca="false">$C$6</f>
        <v>40.7792422449141</v>
      </c>
      <c r="E25" s="23" t="n">
        <f aca="false">C25*Supuestos!$C$7/12</f>
        <v>15.4338853944776</v>
      </c>
      <c r="F25" s="23" t="n">
        <f aca="false">D25-E25</f>
        <v>25.3453568504365</v>
      </c>
      <c r="G25" s="23" t="n">
        <f aca="false">IF(A25=Supuestos!$C$14,C25-F25,0)</f>
        <v>0</v>
      </c>
      <c r="H25" s="23" t="n">
        <f aca="false">C25-F25-G25</f>
        <v>3342.0478201265</v>
      </c>
      <c r="I25" s="44" t="n">
        <f aca="false">YEAR(B25)</f>
        <v>2009</v>
      </c>
    </row>
    <row r="26" customFormat="false" ht="15" hidden="false" customHeight="true" outlineLevel="0" collapsed="false">
      <c r="A26" s="44" t="n">
        <v>18</v>
      </c>
      <c r="B26" s="45" t="n">
        <f aca="false">DATE(2008,A26+1,0)</f>
        <v>39994</v>
      </c>
      <c r="C26" s="23" t="n">
        <f aca="false">H25</f>
        <v>3342.0478201265</v>
      </c>
      <c r="D26" s="23" t="n">
        <f aca="false">$C$6</f>
        <v>40.7792422449141</v>
      </c>
      <c r="E26" s="23" t="n">
        <f aca="false">C26*Supuestos!$C$7/12</f>
        <v>15.3177191755798</v>
      </c>
      <c r="F26" s="23" t="n">
        <f aca="false">D26-E26</f>
        <v>25.4615230693343</v>
      </c>
      <c r="G26" s="23" t="n">
        <f aca="false">IF(A26=Supuestos!$C$14,C26-F26,0)</f>
        <v>0</v>
      </c>
      <c r="H26" s="23" t="n">
        <f aca="false">C26-F26-G26</f>
        <v>3316.58629705716</v>
      </c>
      <c r="I26" s="44" t="n">
        <f aca="false">YEAR(B26)</f>
        <v>2009</v>
      </c>
    </row>
    <row r="27" customFormat="false" ht="15" hidden="false" customHeight="true" outlineLevel="0" collapsed="false">
      <c r="A27" s="44" t="n">
        <v>19</v>
      </c>
      <c r="B27" s="45" t="n">
        <f aca="false">DATE(2008,A27+1,0)</f>
        <v>40025</v>
      </c>
      <c r="C27" s="23" t="n">
        <f aca="false">H26</f>
        <v>3316.58629705716</v>
      </c>
      <c r="D27" s="23" t="n">
        <f aca="false">$C$6</f>
        <v>40.7792422449141</v>
      </c>
      <c r="E27" s="23" t="n">
        <f aca="false">C27*Supuestos!$C$7/12</f>
        <v>15.2010205281787</v>
      </c>
      <c r="F27" s="23" t="n">
        <f aca="false">D27-E27</f>
        <v>25.5782217167355</v>
      </c>
      <c r="G27" s="23" t="n">
        <f aca="false">IF(A27=Supuestos!$C$14,C27-F27,0)</f>
        <v>0</v>
      </c>
      <c r="H27" s="23" t="n">
        <f aca="false">C27-F27-G27</f>
        <v>3291.00807534043</v>
      </c>
      <c r="I27" s="44" t="n">
        <f aca="false">YEAR(B27)</f>
        <v>2009</v>
      </c>
    </row>
    <row r="28" customFormat="false" ht="15" hidden="false" customHeight="true" outlineLevel="0" collapsed="false">
      <c r="A28" s="44" t="n">
        <v>20</v>
      </c>
      <c r="B28" s="45" t="n">
        <f aca="false">DATE(2008,A28+1,0)</f>
        <v>40056</v>
      </c>
      <c r="C28" s="23" t="n">
        <f aca="false">H27</f>
        <v>3291.00807534043</v>
      </c>
      <c r="D28" s="23" t="n">
        <f aca="false">$C$6</f>
        <v>40.7792422449141</v>
      </c>
      <c r="E28" s="23" t="n">
        <f aca="false">C28*Supuestos!$C$7/12</f>
        <v>15.083787011977</v>
      </c>
      <c r="F28" s="23" t="n">
        <f aca="false">D28-E28</f>
        <v>25.6954552329372</v>
      </c>
      <c r="G28" s="23" t="n">
        <f aca="false">IF(A28=Supuestos!$C$14,C28-F28,0)</f>
        <v>0</v>
      </c>
      <c r="H28" s="23" t="n">
        <f aca="false">C28-F28-G28</f>
        <v>3265.31262010749</v>
      </c>
      <c r="I28" s="44" t="n">
        <f aca="false">YEAR(B28)</f>
        <v>2009</v>
      </c>
    </row>
    <row r="29" customFormat="false" ht="15" hidden="false" customHeight="true" outlineLevel="0" collapsed="false">
      <c r="A29" s="44" t="n">
        <v>21</v>
      </c>
      <c r="B29" s="45" t="n">
        <f aca="false">DATE(2008,A29+1,0)</f>
        <v>40086</v>
      </c>
      <c r="C29" s="23" t="n">
        <f aca="false">H28</f>
        <v>3265.31262010749</v>
      </c>
      <c r="D29" s="23" t="n">
        <f aca="false">$C$6</f>
        <v>40.7792422449141</v>
      </c>
      <c r="E29" s="23" t="n">
        <f aca="false">C29*Supuestos!$C$7/12</f>
        <v>14.9660161754927</v>
      </c>
      <c r="F29" s="23" t="n">
        <f aca="false">D29-E29</f>
        <v>25.8132260694215</v>
      </c>
      <c r="G29" s="23" t="n">
        <f aca="false">IF(A29=Supuestos!$C$14,C29-F29,0)</f>
        <v>0</v>
      </c>
      <c r="H29" s="23" t="n">
        <f aca="false">C29-F29-G29</f>
        <v>3239.49939403807</v>
      </c>
      <c r="I29" s="44" t="n">
        <f aca="false">YEAR(B29)</f>
        <v>2009</v>
      </c>
    </row>
    <row r="30" customFormat="false" ht="15" hidden="false" customHeight="true" outlineLevel="0" collapsed="false">
      <c r="A30" s="44" t="n">
        <v>22</v>
      </c>
      <c r="B30" s="45" t="n">
        <f aca="false">DATE(2008,A30+1,0)</f>
        <v>40117</v>
      </c>
      <c r="C30" s="23" t="n">
        <f aca="false">H29</f>
        <v>3239.49939403807</v>
      </c>
      <c r="D30" s="23" t="n">
        <f aca="false">$C$6</f>
        <v>40.7792422449141</v>
      </c>
      <c r="E30" s="23" t="n">
        <f aca="false">C30*Supuestos!$C$7/12</f>
        <v>14.8477055560078</v>
      </c>
      <c r="F30" s="23" t="n">
        <f aca="false">D30-E30</f>
        <v>25.9315366889063</v>
      </c>
      <c r="G30" s="23" t="n">
        <f aca="false">IF(A30=Supuestos!$C$14,C30-F30,0)</f>
        <v>0</v>
      </c>
      <c r="H30" s="23" t="n">
        <f aca="false">C30-F30-G30</f>
        <v>3213.56785734916</v>
      </c>
      <c r="I30" s="44" t="n">
        <f aca="false">YEAR(B30)</f>
        <v>2009</v>
      </c>
    </row>
    <row r="31" customFormat="false" ht="15" hidden="false" customHeight="true" outlineLevel="0" collapsed="false">
      <c r="A31" s="44" t="n">
        <v>23</v>
      </c>
      <c r="B31" s="45" t="n">
        <f aca="false">DATE(2008,A31+1,0)</f>
        <v>40147</v>
      </c>
      <c r="C31" s="23" t="n">
        <f aca="false">H30</f>
        <v>3213.56785734916</v>
      </c>
      <c r="D31" s="23" t="n">
        <f aca="false">$C$6</f>
        <v>40.7792422449141</v>
      </c>
      <c r="E31" s="23" t="n">
        <f aca="false">C31*Supuestos!$C$7/12</f>
        <v>14.728852679517</v>
      </c>
      <c r="F31" s="23" t="n">
        <f aca="false">D31-E31</f>
        <v>26.0503895653971</v>
      </c>
      <c r="G31" s="23" t="n">
        <f aca="false">IF(A31=Supuestos!$C$14,C31-F31,0)</f>
        <v>0</v>
      </c>
      <c r="H31" s="23" t="n">
        <f aca="false">C31-F31-G31</f>
        <v>3187.51746778376</v>
      </c>
      <c r="I31" s="44" t="n">
        <f aca="false">YEAR(B31)</f>
        <v>2009</v>
      </c>
    </row>
    <row r="32" customFormat="false" ht="15" hidden="false" customHeight="true" outlineLevel="0" collapsed="false">
      <c r="A32" s="44" t="n">
        <v>24</v>
      </c>
      <c r="B32" s="45" t="n">
        <f aca="false">DATE(2008,A32+1,0)</f>
        <v>40178</v>
      </c>
      <c r="C32" s="23" t="n">
        <f aca="false">H31</f>
        <v>3187.51746778376</v>
      </c>
      <c r="D32" s="23" t="n">
        <f aca="false">$C$6</f>
        <v>40.7792422449141</v>
      </c>
      <c r="E32" s="23" t="n">
        <f aca="false">C32*Supuestos!$C$7/12</f>
        <v>14.6094550606756</v>
      </c>
      <c r="F32" s="23" t="n">
        <f aca="false">D32-E32</f>
        <v>26.1697871842385</v>
      </c>
      <c r="G32" s="23" t="n">
        <f aca="false">IF(A32=Supuestos!$C$14,C32-F32,0)</f>
        <v>0</v>
      </c>
      <c r="H32" s="23" t="n">
        <f aca="false">C32-F32-G32</f>
        <v>3161.34768059953</v>
      </c>
      <c r="I32" s="44" t="n">
        <f aca="false">YEAR(B32)</f>
        <v>2009</v>
      </c>
    </row>
    <row r="33" customFormat="false" ht="15" hidden="false" customHeight="true" outlineLevel="0" collapsed="false">
      <c r="A33" s="44" t="n">
        <v>25</v>
      </c>
      <c r="B33" s="45" t="n">
        <f aca="false">DATE(2008,A33+1,0)</f>
        <v>40209</v>
      </c>
      <c r="C33" s="23" t="n">
        <f aca="false">H32</f>
        <v>3161.34768059953</v>
      </c>
      <c r="D33" s="23" t="n">
        <f aca="false">$C$6</f>
        <v>40.7792422449141</v>
      </c>
      <c r="E33" s="23" t="n">
        <f aca="false">C33*Supuestos!$C$7/12</f>
        <v>14.4895102027478</v>
      </c>
      <c r="F33" s="23" t="n">
        <f aca="false">D33-E33</f>
        <v>26.2897320421663</v>
      </c>
      <c r="G33" s="23" t="n">
        <f aca="false">IF(A33=Supuestos!$C$14,C33-F33,0)</f>
        <v>0</v>
      </c>
      <c r="H33" s="23" t="n">
        <f aca="false">C33-F33-G33</f>
        <v>3135.05794855736</v>
      </c>
      <c r="I33" s="44" t="n">
        <f aca="false">YEAR(B33)</f>
        <v>2010</v>
      </c>
    </row>
    <row r="34" customFormat="false" ht="15" hidden="false" customHeight="true" outlineLevel="0" collapsed="false">
      <c r="A34" s="44" t="n">
        <v>26</v>
      </c>
      <c r="B34" s="45" t="n">
        <f aca="false">DATE(2008,A34+1,0)</f>
        <v>40237</v>
      </c>
      <c r="C34" s="23" t="n">
        <f aca="false">H33</f>
        <v>3135.05794855736</v>
      </c>
      <c r="D34" s="23" t="n">
        <f aca="false">$C$6</f>
        <v>40.7792422449141</v>
      </c>
      <c r="E34" s="23" t="n">
        <f aca="false">C34*Supuestos!$C$7/12</f>
        <v>14.3690155975546</v>
      </c>
      <c r="F34" s="23" t="n">
        <f aca="false">D34-E34</f>
        <v>26.4102266473596</v>
      </c>
      <c r="G34" s="23" t="n">
        <f aca="false">IF(A34=Supuestos!$C$14,C34-F34,0)</f>
        <v>0</v>
      </c>
      <c r="H34" s="23" t="n">
        <f aca="false">C34-F34-G34</f>
        <v>3108.64772191</v>
      </c>
      <c r="I34" s="44" t="n">
        <f aca="false">YEAR(B34)</f>
        <v>2010</v>
      </c>
    </row>
    <row r="35" customFormat="false" ht="15" hidden="false" customHeight="true" outlineLevel="0" collapsed="false">
      <c r="A35" s="44" t="n">
        <v>27</v>
      </c>
      <c r="B35" s="45" t="n">
        <f aca="false">DATE(2008,A35+1,0)</f>
        <v>40268</v>
      </c>
      <c r="C35" s="23" t="n">
        <f aca="false">H34</f>
        <v>3108.64772191</v>
      </c>
      <c r="D35" s="23" t="n">
        <f aca="false">$C$6</f>
        <v>40.7792422449141</v>
      </c>
      <c r="E35" s="23" t="n">
        <f aca="false">C35*Supuestos!$C$7/12</f>
        <v>14.2479687254208</v>
      </c>
      <c r="F35" s="23" t="n">
        <f aca="false">D35-E35</f>
        <v>26.5312735194933</v>
      </c>
      <c r="G35" s="23" t="n">
        <f aca="false">IF(A35=Supuestos!$C$14,C35-F35,0)</f>
        <v>0</v>
      </c>
      <c r="H35" s="23" t="n">
        <f aca="false">C35-F35-G35</f>
        <v>3082.11644839051</v>
      </c>
      <c r="I35" s="44" t="n">
        <f aca="false">YEAR(B35)</f>
        <v>2010</v>
      </c>
    </row>
    <row r="36" customFormat="false" ht="15" hidden="false" customHeight="true" outlineLevel="0" collapsed="false">
      <c r="A36" s="44" t="n">
        <v>28</v>
      </c>
      <c r="B36" s="45" t="n">
        <f aca="false">DATE(2008,A36+1,0)</f>
        <v>40298</v>
      </c>
      <c r="C36" s="23" t="n">
        <f aca="false">H35</f>
        <v>3082.11644839051</v>
      </c>
      <c r="D36" s="23" t="n">
        <f aca="false">$C$6</f>
        <v>40.7792422449141</v>
      </c>
      <c r="E36" s="23" t="n">
        <f aca="false">C36*Supuestos!$C$7/12</f>
        <v>14.1263670551232</v>
      </c>
      <c r="F36" s="23" t="n">
        <f aca="false">D36-E36</f>
        <v>26.652875189791</v>
      </c>
      <c r="G36" s="23" t="n">
        <f aca="false">IF(A36=Supuestos!$C$14,C36-F36,0)</f>
        <v>0</v>
      </c>
      <c r="H36" s="23" t="n">
        <f aca="false">C36-F36-G36</f>
        <v>3055.46357320072</v>
      </c>
      <c r="I36" s="44" t="n">
        <f aca="false">YEAR(B36)</f>
        <v>2010</v>
      </c>
    </row>
    <row r="37" customFormat="false" ht="15" hidden="false" customHeight="true" outlineLevel="0" collapsed="false">
      <c r="A37" s="44" t="n">
        <v>29</v>
      </c>
      <c r="B37" s="45" t="n">
        <f aca="false">DATE(2008,A37+1,0)</f>
        <v>40329</v>
      </c>
      <c r="C37" s="23" t="n">
        <f aca="false">H36</f>
        <v>3055.46357320072</v>
      </c>
      <c r="D37" s="23" t="n">
        <f aca="false">$C$6</f>
        <v>40.7792422449141</v>
      </c>
      <c r="E37" s="23" t="n">
        <f aca="false">C37*Supuestos!$C$7/12</f>
        <v>14.0042080438366</v>
      </c>
      <c r="F37" s="23" t="n">
        <f aca="false">D37-E37</f>
        <v>26.7750342010775</v>
      </c>
      <c r="G37" s="23" t="n">
        <f aca="false">IF(A37=Supuestos!$C$14,C37-F37,0)</f>
        <v>0</v>
      </c>
      <c r="H37" s="23" t="n">
        <f aca="false">C37-F37-G37</f>
        <v>3028.68853899964</v>
      </c>
      <c r="I37" s="44" t="n">
        <f aca="false">YEAR(B37)</f>
        <v>2010</v>
      </c>
    </row>
    <row r="38" customFormat="false" ht="15" hidden="false" customHeight="true" outlineLevel="0" collapsed="false">
      <c r="A38" s="44" t="n">
        <v>30</v>
      </c>
      <c r="B38" s="45" t="n">
        <f aca="false">DATE(2008,A38+1,0)</f>
        <v>40359</v>
      </c>
      <c r="C38" s="23" t="n">
        <f aca="false">H37</f>
        <v>3028.68853899964</v>
      </c>
      <c r="D38" s="23" t="n">
        <f aca="false">$C$6</f>
        <v>40.7792422449141</v>
      </c>
      <c r="E38" s="23" t="n">
        <f aca="false">C38*Supuestos!$C$7/12</f>
        <v>13.8814891370817</v>
      </c>
      <c r="F38" s="23" t="n">
        <f aca="false">D38-E38</f>
        <v>26.8977531078324</v>
      </c>
      <c r="G38" s="23" t="n">
        <f aca="false">IF(A38=Supuestos!$C$14,C38-F38,0)</f>
        <v>0</v>
      </c>
      <c r="H38" s="23" t="n">
        <f aca="false">C38-F38-G38</f>
        <v>3001.7907858918</v>
      </c>
      <c r="I38" s="44" t="n">
        <f aca="false">YEAR(B38)</f>
        <v>2010</v>
      </c>
    </row>
    <row r="39" customFormat="false" ht="15" hidden="false" customHeight="true" outlineLevel="0" collapsed="false">
      <c r="A39" s="44" t="n">
        <v>31</v>
      </c>
      <c r="B39" s="45" t="n">
        <f aca="false">DATE(2008,A39+1,0)</f>
        <v>40390</v>
      </c>
      <c r="C39" s="23" t="n">
        <f aca="false">H38</f>
        <v>3001.7907858918</v>
      </c>
      <c r="D39" s="23" t="n">
        <f aca="false">$C$6</f>
        <v>40.7792422449141</v>
      </c>
      <c r="E39" s="23" t="n">
        <f aca="false">C39*Supuestos!$C$7/12</f>
        <v>13.7582077686708</v>
      </c>
      <c r="F39" s="23" t="n">
        <f aca="false">D39-E39</f>
        <v>27.0210344762433</v>
      </c>
      <c r="G39" s="23" t="n">
        <f aca="false">IF(A39=Supuestos!$C$14,C39-F39,0)</f>
        <v>0</v>
      </c>
      <c r="H39" s="23" t="n">
        <f aca="false">C39-F39-G39</f>
        <v>2974.76975141556</v>
      </c>
      <c r="I39" s="44" t="n">
        <f aca="false">YEAR(B39)</f>
        <v>2010</v>
      </c>
    </row>
    <row r="40" customFormat="false" ht="15" hidden="false" customHeight="true" outlineLevel="0" collapsed="false">
      <c r="A40" s="44" t="n">
        <v>32</v>
      </c>
      <c r="B40" s="45" t="n">
        <f aca="false">DATE(2008,A40+1,0)</f>
        <v>40421</v>
      </c>
      <c r="C40" s="23" t="n">
        <f aca="false">H39</f>
        <v>2974.76975141556</v>
      </c>
      <c r="D40" s="23" t="n">
        <f aca="false">$C$6</f>
        <v>40.7792422449141</v>
      </c>
      <c r="E40" s="23" t="n">
        <f aca="false">C40*Supuestos!$C$7/12</f>
        <v>13.6343613606547</v>
      </c>
      <c r="F40" s="23" t="n">
        <f aca="false">D40-E40</f>
        <v>27.1448808842595</v>
      </c>
      <c r="G40" s="23" t="n">
        <f aca="false">IF(A40=Supuestos!$C$14,C40-F40,0)</f>
        <v>0</v>
      </c>
      <c r="H40" s="23" t="n">
        <f aca="false">C40-F40-G40</f>
        <v>2947.6248705313</v>
      </c>
      <c r="I40" s="44" t="n">
        <f aca="false">YEAR(B40)</f>
        <v>2010</v>
      </c>
    </row>
    <row r="41" customFormat="false" ht="15" hidden="false" customHeight="true" outlineLevel="0" collapsed="false">
      <c r="A41" s="44" t="n">
        <v>33</v>
      </c>
      <c r="B41" s="45" t="n">
        <f aca="false">DATE(2008,A41+1,0)</f>
        <v>40451</v>
      </c>
      <c r="C41" s="23" t="n">
        <f aca="false">H40</f>
        <v>2947.6248705313</v>
      </c>
      <c r="D41" s="23" t="n">
        <f aca="false">$C$6</f>
        <v>40.7792422449141</v>
      </c>
      <c r="E41" s="23" t="n">
        <f aca="false">C41*Supuestos!$C$7/12</f>
        <v>13.5099473232685</v>
      </c>
      <c r="F41" s="23" t="n">
        <f aca="false">D41-E41</f>
        <v>27.2692949216456</v>
      </c>
      <c r="G41" s="23" t="n">
        <f aca="false">IF(A41=Supuestos!$C$14,C41-F41,0)</f>
        <v>0</v>
      </c>
      <c r="H41" s="23" t="n">
        <f aca="false">C41-F41-G41</f>
        <v>2920.35557560966</v>
      </c>
      <c r="I41" s="44" t="n">
        <f aca="false">YEAR(B41)</f>
        <v>2010</v>
      </c>
    </row>
    <row r="42" customFormat="false" ht="15" hidden="false" customHeight="true" outlineLevel="0" collapsed="false">
      <c r="A42" s="44" t="n">
        <v>34</v>
      </c>
      <c r="B42" s="45" t="n">
        <f aca="false">DATE(2008,A42+1,0)</f>
        <v>40482</v>
      </c>
      <c r="C42" s="23" t="n">
        <f aca="false">H41</f>
        <v>2920.35557560966</v>
      </c>
      <c r="D42" s="23" t="n">
        <f aca="false">$C$6</f>
        <v>40.7792422449141</v>
      </c>
      <c r="E42" s="23" t="n">
        <f aca="false">C42*Supuestos!$C$7/12</f>
        <v>13.3849630548776</v>
      </c>
      <c r="F42" s="23" t="n">
        <f aca="false">D42-E42</f>
        <v>27.3942791900365</v>
      </c>
      <c r="G42" s="23" t="n">
        <f aca="false">IF(A42=Supuestos!$C$14,C42-F42,0)</f>
        <v>0</v>
      </c>
      <c r="H42" s="23" t="n">
        <f aca="false">C42-F42-G42</f>
        <v>2892.96129641962</v>
      </c>
      <c r="I42" s="44" t="n">
        <f aca="false">YEAR(B42)</f>
        <v>2010</v>
      </c>
    </row>
    <row r="43" customFormat="false" ht="15" hidden="false" customHeight="true" outlineLevel="0" collapsed="false">
      <c r="A43" s="44" t="n">
        <v>35</v>
      </c>
      <c r="B43" s="45" t="n">
        <f aca="false">DATE(2008,A43+1,0)</f>
        <v>40512</v>
      </c>
      <c r="C43" s="23" t="n">
        <f aca="false">H42</f>
        <v>2892.96129641962</v>
      </c>
      <c r="D43" s="23" t="n">
        <f aca="false">$C$6</f>
        <v>40.7792422449141</v>
      </c>
      <c r="E43" s="23" t="n">
        <f aca="false">C43*Supuestos!$C$7/12</f>
        <v>13.2594059419233</v>
      </c>
      <c r="F43" s="23" t="n">
        <f aca="false">D43-E43</f>
        <v>27.5198363029909</v>
      </c>
      <c r="G43" s="23" t="n">
        <f aca="false">IF(A43=Supuestos!$C$14,C43-F43,0)</f>
        <v>0</v>
      </c>
      <c r="H43" s="23" t="n">
        <f aca="false">C43-F43-G43</f>
        <v>2865.44146011663</v>
      </c>
      <c r="I43" s="44" t="n">
        <f aca="false">YEAR(B43)</f>
        <v>2010</v>
      </c>
    </row>
    <row r="44" customFormat="false" ht="15" hidden="false" customHeight="true" outlineLevel="0" collapsed="false">
      <c r="A44" s="44" t="n">
        <v>36</v>
      </c>
      <c r="B44" s="45" t="n">
        <f aca="false">DATE(2008,A44+1,0)</f>
        <v>40543</v>
      </c>
      <c r="C44" s="23" t="n">
        <f aca="false">H43</f>
        <v>2865.44146011663</v>
      </c>
      <c r="D44" s="23" t="n">
        <f aca="false">$C$6</f>
        <v>40.7792422449141</v>
      </c>
      <c r="E44" s="23" t="n">
        <f aca="false">C44*Supuestos!$C$7/12</f>
        <v>13.1332733588679</v>
      </c>
      <c r="F44" s="23" t="n">
        <f aca="false">D44-E44</f>
        <v>27.6459688860462</v>
      </c>
      <c r="G44" s="23" t="n">
        <f aca="false">IF(A44=Supuestos!$C$14,C44-F44,0)</f>
        <v>0</v>
      </c>
      <c r="H44" s="23" t="n">
        <f aca="false">C44-F44-G44</f>
        <v>2837.79549123058</v>
      </c>
      <c r="I44" s="44" t="n">
        <f aca="false">YEAR(B44)</f>
        <v>2010</v>
      </c>
    </row>
    <row r="45" customFormat="false" ht="15" hidden="false" customHeight="true" outlineLevel="0" collapsed="false">
      <c r="A45" s="44" t="n">
        <v>37</v>
      </c>
      <c r="B45" s="45" t="n">
        <f aca="false">DATE(2008,A45+1,0)</f>
        <v>40574</v>
      </c>
      <c r="C45" s="23" t="n">
        <f aca="false">H44</f>
        <v>2837.79549123058</v>
      </c>
      <c r="D45" s="23" t="n">
        <f aca="false">$C$6</f>
        <v>40.7792422449141</v>
      </c>
      <c r="E45" s="23" t="n">
        <f aca="false">C45*Supuestos!$C$7/12</f>
        <v>13.0065626681402</v>
      </c>
      <c r="F45" s="23" t="n">
        <f aca="false">D45-E45</f>
        <v>27.7726795767739</v>
      </c>
      <c r="G45" s="23" t="n">
        <f aca="false">IF(A45=Supuestos!$C$14,C45-F45,0)</f>
        <v>0</v>
      </c>
      <c r="H45" s="23" t="n">
        <f aca="false">C45-F45-G45</f>
        <v>2810.02281165381</v>
      </c>
      <c r="I45" s="44" t="n">
        <f aca="false">YEAR(B45)</f>
        <v>2011</v>
      </c>
    </row>
    <row r="46" customFormat="false" ht="15" hidden="false" customHeight="true" outlineLevel="0" collapsed="false">
      <c r="A46" s="44" t="n">
        <v>38</v>
      </c>
      <c r="B46" s="45" t="n">
        <f aca="false">DATE(2008,A46+1,0)</f>
        <v>40602</v>
      </c>
      <c r="C46" s="23" t="n">
        <f aca="false">H45</f>
        <v>2810.02281165381</v>
      </c>
      <c r="D46" s="23" t="n">
        <f aca="false">$C$6</f>
        <v>40.7792422449141</v>
      </c>
      <c r="E46" s="23" t="n">
        <f aca="false">C46*Supuestos!$C$7/12</f>
        <v>12.87927122008</v>
      </c>
      <c r="F46" s="23" t="n">
        <f aca="false">D46-E46</f>
        <v>27.8999710248342</v>
      </c>
      <c r="G46" s="23" t="n">
        <f aca="false">IF(A46=Supuestos!$C$14,C46-F46,0)</f>
        <v>0</v>
      </c>
      <c r="H46" s="23" t="n">
        <f aca="false">C46-F46-G46</f>
        <v>2782.12284062897</v>
      </c>
      <c r="I46" s="44" t="n">
        <f aca="false">YEAR(B46)</f>
        <v>2011</v>
      </c>
    </row>
    <row r="47" customFormat="false" ht="15" hidden="false" customHeight="true" outlineLevel="0" collapsed="false">
      <c r="A47" s="44" t="n">
        <v>39</v>
      </c>
      <c r="B47" s="45" t="n">
        <f aca="false">DATE(2008,A47+1,0)</f>
        <v>40633</v>
      </c>
      <c r="C47" s="23" t="n">
        <f aca="false">H46</f>
        <v>2782.12284062897</v>
      </c>
      <c r="D47" s="23" t="n">
        <f aca="false">$C$6</f>
        <v>40.7792422449141</v>
      </c>
      <c r="E47" s="23" t="n">
        <f aca="false">C47*Supuestos!$C$7/12</f>
        <v>12.7513963528828</v>
      </c>
      <c r="F47" s="23" t="n">
        <f aca="false">D47-E47</f>
        <v>28.0278458920313</v>
      </c>
      <c r="G47" s="23" t="n">
        <f aca="false">IF(A47=Supuestos!$C$14,C47-F47,0)</f>
        <v>0</v>
      </c>
      <c r="H47" s="23" t="n">
        <f aca="false">C47-F47-G47</f>
        <v>2754.09499473694</v>
      </c>
      <c r="I47" s="44" t="n">
        <f aca="false">YEAR(B47)</f>
        <v>2011</v>
      </c>
    </row>
    <row r="48" customFormat="false" ht="15" hidden="false" customHeight="true" outlineLevel="0" collapsed="false">
      <c r="A48" s="44" t="n">
        <v>40</v>
      </c>
      <c r="B48" s="45" t="n">
        <f aca="false">DATE(2008,A48+1,0)</f>
        <v>40663</v>
      </c>
      <c r="C48" s="23" t="n">
        <f aca="false">H47</f>
        <v>2754.09499473694</v>
      </c>
      <c r="D48" s="23" t="n">
        <f aca="false">$C$6</f>
        <v>40.7792422449141</v>
      </c>
      <c r="E48" s="23" t="n">
        <f aca="false">C48*Supuestos!$C$7/12</f>
        <v>12.6229353925443</v>
      </c>
      <c r="F48" s="23" t="n">
        <f aca="false">D48-E48</f>
        <v>28.1563068523698</v>
      </c>
      <c r="G48" s="23" t="n">
        <f aca="false">IF(A48=Supuestos!$C$14,C48-F48,0)</f>
        <v>0</v>
      </c>
      <c r="H48" s="23" t="n">
        <f aca="false">C48-F48-G48</f>
        <v>2725.93868788457</v>
      </c>
      <c r="I48" s="44" t="n">
        <f aca="false">YEAR(B48)</f>
        <v>2011</v>
      </c>
    </row>
    <row r="49" customFormat="false" ht="15" hidden="false" customHeight="true" outlineLevel="0" collapsed="false">
      <c r="A49" s="44" t="n">
        <v>41</v>
      </c>
      <c r="B49" s="45" t="n">
        <f aca="false">DATE(2008,A49+1,0)</f>
        <v>40694</v>
      </c>
      <c r="C49" s="23" t="n">
        <f aca="false">H48</f>
        <v>2725.93868788457</v>
      </c>
      <c r="D49" s="23" t="n">
        <f aca="false">$C$6</f>
        <v>40.7792422449141</v>
      </c>
      <c r="E49" s="23" t="n">
        <f aca="false">C49*Supuestos!$C$7/12</f>
        <v>12.4938856528043</v>
      </c>
      <c r="F49" s="23" t="n">
        <f aca="false">D49-E49</f>
        <v>28.2853565921098</v>
      </c>
      <c r="G49" s="23" t="n">
        <f aca="false">IF(A49=Supuestos!$C$14,C49-F49,0)</f>
        <v>0</v>
      </c>
      <c r="H49" s="23" t="n">
        <f aca="false">C49-F49-G49</f>
        <v>2697.65333129246</v>
      </c>
      <c r="I49" s="44" t="n">
        <f aca="false">YEAR(B49)</f>
        <v>2011</v>
      </c>
    </row>
    <row r="50" customFormat="false" ht="15" hidden="false" customHeight="true" outlineLevel="0" collapsed="false">
      <c r="A50" s="44" t="n">
        <v>42</v>
      </c>
      <c r="B50" s="45" t="n">
        <f aca="false">DATE(2008,A50+1,0)</f>
        <v>40724</v>
      </c>
      <c r="C50" s="23" t="n">
        <f aca="false">H49</f>
        <v>2697.65333129246</v>
      </c>
      <c r="D50" s="23" t="n">
        <f aca="false">$C$6</f>
        <v>40.7792422449141</v>
      </c>
      <c r="E50" s="23" t="n">
        <f aca="false">C50*Supuestos!$C$7/12</f>
        <v>12.3642444350905</v>
      </c>
      <c r="F50" s="23" t="n">
        <f aca="false">D50-E50</f>
        <v>28.4149978098237</v>
      </c>
      <c r="G50" s="23" t="n">
        <f aca="false">IF(A50=Supuestos!$C$14,C50-F50,0)</f>
        <v>0</v>
      </c>
      <c r="H50" s="23" t="n">
        <f aca="false">C50-F50-G50</f>
        <v>2669.23833348264</v>
      </c>
      <c r="I50" s="44" t="n">
        <f aca="false">YEAR(B50)</f>
        <v>2011</v>
      </c>
    </row>
    <row r="51" customFormat="false" ht="15" hidden="false" customHeight="true" outlineLevel="0" collapsed="false">
      <c r="A51" s="44" t="n">
        <v>43</v>
      </c>
      <c r="B51" s="45" t="n">
        <f aca="false">DATE(2008,A51+1,0)</f>
        <v>40755</v>
      </c>
      <c r="C51" s="23" t="n">
        <f aca="false">H50</f>
        <v>2669.23833348264</v>
      </c>
      <c r="D51" s="23" t="n">
        <f aca="false">$C$6</f>
        <v>40.7792422449141</v>
      </c>
      <c r="E51" s="23" t="n">
        <f aca="false">C51*Supuestos!$C$7/12</f>
        <v>12.2340090284621</v>
      </c>
      <c r="F51" s="23" t="n">
        <f aca="false">D51-E51</f>
        <v>28.545233216452</v>
      </c>
      <c r="G51" s="23" t="n">
        <f aca="false">IF(A51=Supuestos!$C$14,C51-F51,0)</f>
        <v>0</v>
      </c>
      <c r="H51" s="23" t="n">
        <f aca="false">C51-F51-G51</f>
        <v>2640.69310026619</v>
      </c>
      <c r="I51" s="44" t="n">
        <f aca="false">YEAR(B51)</f>
        <v>2011</v>
      </c>
    </row>
    <row r="52" customFormat="false" ht="15" hidden="false" customHeight="true" outlineLevel="0" collapsed="false">
      <c r="A52" s="44" t="n">
        <v>44</v>
      </c>
      <c r="B52" s="45" t="n">
        <f aca="false">DATE(2008,A52+1,0)</f>
        <v>40786</v>
      </c>
      <c r="C52" s="23" t="n">
        <f aca="false">H51</f>
        <v>2640.69310026619</v>
      </c>
      <c r="D52" s="23" t="n">
        <f aca="false">$C$6</f>
        <v>40.7792422449141</v>
      </c>
      <c r="E52" s="23" t="n">
        <f aca="false">C52*Supuestos!$C$7/12</f>
        <v>12.1031767095534</v>
      </c>
      <c r="F52" s="23" t="n">
        <f aca="false">D52-E52</f>
        <v>28.6760655353608</v>
      </c>
      <c r="G52" s="23" t="n">
        <f aca="false">IF(A52=Supuestos!$C$14,C52-F52,0)</f>
        <v>0</v>
      </c>
      <c r="H52" s="23" t="n">
        <f aca="false">C52-F52-G52</f>
        <v>2612.01703473083</v>
      </c>
      <c r="I52" s="44" t="n">
        <f aca="false">YEAR(B52)</f>
        <v>2011</v>
      </c>
    </row>
    <row r="53" customFormat="false" ht="15" hidden="false" customHeight="true" outlineLevel="0" collapsed="false">
      <c r="A53" s="44" t="n">
        <v>45</v>
      </c>
      <c r="B53" s="45" t="n">
        <f aca="false">DATE(2008,A53+1,0)</f>
        <v>40816</v>
      </c>
      <c r="C53" s="23" t="n">
        <f aca="false">H52</f>
        <v>2612.01703473083</v>
      </c>
      <c r="D53" s="23" t="n">
        <f aca="false">$C$6</f>
        <v>40.7792422449141</v>
      </c>
      <c r="E53" s="23" t="n">
        <f aca="false">C53*Supuestos!$C$7/12</f>
        <v>11.9717447425163</v>
      </c>
      <c r="F53" s="23" t="n">
        <f aca="false">D53-E53</f>
        <v>28.8074975023978</v>
      </c>
      <c r="G53" s="23" t="n">
        <f aca="false">IF(A53=Supuestos!$C$14,C53-F53,0)</f>
        <v>0</v>
      </c>
      <c r="H53" s="23" t="n">
        <f aca="false">C53-F53-G53</f>
        <v>2583.20953722843</v>
      </c>
      <c r="I53" s="44" t="n">
        <f aca="false">YEAR(B53)</f>
        <v>2011</v>
      </c>
    </row>
    <row r="54" customFormat="false" ht="15" hidden="false" customHeight="true" outlineLevel="0" collapsed="false">
      <c r="A54" s="44" t="n">
        <v>46</v>
      </c>
      <c r="B54" s="45" t="n">
        <f aca="false">DATE(2008,A54+1,0)</f>
        <v>40847</v>
      </c>
      <c r="C54" s="23" t="n">
        <f aca="false">H53</f>
        <v>2583.20953722843</v>
      </c>
      <c r="D54" s="23" t="n">
        <f aca="false">$C$6</f>
        <v>40.7792422449141</v>
      </c>
      <c r="E54" s="23" t="n">
        <f aca="false">C54*Supuestos!$C$7/12</f>
        <v>11.8397103789636</v>
      </c>
      <c r="F54" s="23" t="n">
        <f aca="false">D54-E54</f>
        <v>28.9395318659505</v>
      </c>
      <c r="G54" s="23" t="n">
        <f aca="false">IF(A54=Supuestos!$C$14,C54-F54,0)</f>
        <v>0</v>
      </c>
      <c r="H54" s="23" t="n">
        <f aca="false">C54-F54-G54</f>
        <v>2554.27000536248</v>
      </c>
      <c r="I54" s="44" t="n">
        <f aca="false">YEAR(B54)</f>
        <v>2011</v>
      </c>
    </row>
    <row r="55" customFormat="false" ht="15" hidden="false" customHeight="true" outlineLevel="0" collapsed="false">
      <c r="A55" s="44" t="n">
        <v>47</v>
      </c>
      <c r="B55" s="45" t="n">
        <f aca="false">DATE(2008,A55+1,0)</f>
        <v>40877</v>
      </c>
      <c r="C55" s="23" t="n">
        <f aca="false">H54</f>
        <v>2554.27000536248</v>
      </c>
      <c r="D55" s="23" t="n">
        <f aca="false">$C$6</f>
        <v>40.7792422449141</v>
      </c>
      <c r="E55" s="23" t="n">
        <f aca="false">C55*Supuestos!$C$7/12</f>
        <v>11.7070708579114</v>
      </c>
      <c r="F55" s="23" t="n">
        <f aca="false">D55-E55</f>
        <v>29.0721713870028</v>
      </c>
      <c r="G55" s="23" t="n">
        <f aca="false">IF(A55=Supuestos!$C$14,C55-F55,0)</f>
        <v>0</v>
      </c>
      <c r="H55" s="23" t="n">
        <f aca="false">C55-F55-G55</f>
        <v>2525.19783397548</v>
      </c>
      <c r="I55" s="44" t="n">
        <f aca="false">YEAR(B55)</f>
        <v>2011</v>
      </c>
    </row>
    <row r="56" customFormat="false" ht="15" hidden="false" customHeight="true" outlineLevel="0" collapsed="false">
      <c r="A56" s="44" t="n">
        <v>48</v>
      </c>
      <c r="B56" s="45" t="n">
        <f aca="false">DATE(2008,A56+1,0)</f>
        <v>40908</v>
      </c>
      <c r="C56" s="23" t="n">
        <f aca="false">H55</f>
        <v>2525.19783397548</v>
      </c>
      <c r="D56" s="23" t="n">
        <f aca="false">$C$6</f>
        <v>40.7792422449141</v>
      </c>
      <c r="E56" s="23" t="n">
        <f aca="false">C56*Supuestos!$C$7/12</f>
        <v>11.5738234057209</v>
      </c>
      <c r="F56" s="23" t="n">
        <f aca="false">D56-E56</f>
        <v>29.2054188391932</v>
      </c>
      <c r="G56" s="23" t="n">
        <f aca="false">IF(A56=Supuestos!$C$14,C56-F56,0)</f>
        <v>0</v>
      </c>
      <c r="H56" s="23" t="n">
        <f aca="false">C56-F56-G56</f>
        <v>2495.99241513628</v>
      </c>
      <c r="I56" s="44" t="n">
        <f aca="false">YEAR(B56)</f>
        <v>2011</v>
      </c>
    </row>
    <row r="57" customFormat="false" ht="15" hidden="false" customHeight="true" outlineLevel="0" collapsed="false">
      <c r="A57" s="44" t="n">
        <v>49</v>
      </c>
      <c r="B57" s="45" t="n">
        <f aca="false">DATE(2008,A57+1,0)</f>
        <v>40939</v>
      </c>
      <c r="C57" s="23" t="n">
        <f aca="false">H56</f>
        <v>2495.99241513628</v>
      </c>
      <c r="D57" s="23" t="n">
        <f aca="false">$C$6</f>
        <v>40.7792422449141</v>
      </c>
      <c r="E57" s="23" t="n">
        <f aca="false">C57*Supuestos!$C$7/12</f>
        <v>11.4399652360413</v>
      </c>
      <c r="F57" s="23" t="n">
        <f aca="false">D57-E57</f>
        <v>29.3392770088728</v>
      </c>
      <c r="G57" s="23" t="n">
        <f aca="false">IF(A57=Supuestos!$C$14,C57-F57,0)</f>
        <v>0</v>
      </c>
      <c r="H57" s="23" t="n">
        <f aca="false">C57-F57-G57</f>
        <v>2466.65313812741</v>
      </c>
      <c r="I57" s="44" t="n">
        <f aca="false">YEAR(B57)</f>
        <v>2012</v>
      </c>
    </row>
    <row r="58" customFormat="false" ht="15" hidden="false" customHeight="true" outlineLevel="0" collapsed="false">
      <c r="A58" s="44" t="n">
        <v>50</v>
      </c>
      <c r="B58" s="45" t="n">
        <f aca="false">DATE(2008,A58+1,0)</f>
        <v>40968</v>
      </c>
      <c r="C58" s="23" t="n">
        <f aca="false">H57</f>
        <v>2466.65313812741</v>
      </c>
      <c r="D58" s="23" t="n">
        <f aca="false">$C$6</f>
        <v>40.7792422449141</v>
      </c>
      <c r="E58" s="23" t="n">
        <f aca="false">C58*Supuestos!$C$7/12</f>
        <v>11.3054935497506</v>
      </c>
      <c r="F58" s="23" t="n">
        <f aca="false">D58-E58</f>
        <v>29.4737486951635</v>
      </c>
      <c r="G58" s="23" t="n">
        <f aca="false">IF(A58=Supuestos!$C$14,C58-F58,0)</f>
        <v>0</v>
      </c>
      <c r="H58" s="23" t="n">
        <f aca="false">C58-F58-G58</f>
        <v>2437.17938943225</v>
      </c>
      <c r="I58" s="44" t="n">
        <f aca="false">YEAR(B58)</f>
        <v>2012</v>
      </c>
    </row>
    <row r="59" customFormat="false" ht="15" hidden="false" customHeight="true" outlineLevel="0" collapsed="false">
      <c r="A59" s="44" t="n">
        <v>51</v>
      </c>
      <c r="B59" s="45" t="n">
        <f aca="false">DATE(2008,A59+1,0)</f>
        <v>40999</v>
      </c>
      <c r="C59" s="23" t="n">
        <f aca="false">H58</f>
        <v>2437.17938943225</v>
      </c>
      <c r="D59" s="23" t="n">
        <f aca="false">$C$6</f>
        <v>40.7792422449141</v>
      </c>
      <c r="E59" s="23" t="n">
        <f aca="false">C59*Supuestos!$C$7/12</f>
        <v>11.1704055348978</v>
      </c>
      <c r="F59" s="23" t="n">
        <f aca="false">D59-E59</f>
        <v>29.6088367100163</v>
      </c>
      <c r="G59" s="23" t="n">
        <f aca="false">IF(A59=Supuestos!$C$14,C59-F59,0)</f>
        <v>0</v>
      </c>
      <c r="H59" s="23" t="n">
        <f aca="false">C59-F59-G59</f>
        <v>2407.57055272223</v>
      </c>
      <c r="I59" s="44" t="n">
        <f aca="false">YEAR(B59)</f>
        <v>2012</v>
      </c>
    </row>
    <row r="60" customFormat="false" ht="15" hidden="false" customHeight="true" outlineLevel="0" collapsed="false">
      <c r="A60" s="44" t="n">
        <v>52</v>
      </c>
      <c r="B60" s="45" t="n">
        <f aca="false">DATE(2008,A60+1,0)</f>
        <v>41029</v>
      </c>
      <c r="C60" s="23" t="n">
        <f aca="false">H59</f>
        <v>2407.57055272223</v>
      </c>
      <c r="D60" s="23" t="n">
        <f aca="false">$C$6</f>
        <v>40.7792422449141</v>
      </c>
      <c r="E60" s="23" t="n">
        <f aca="false">C60*Supuestos!$C$7/12</f>
        <v>11.0346983666436</v>
      </c>
      <c r="F60" s="23" t="n">
        <f aca="false">D60-E60</f>
        <v>29.7445438782706</v>
      </c>
      <c r="G60" s="23" t="n">
        <f aca="false">IF(A60=Supuestos!$C$14,C60-F60,0)</f>
        <v>0</v>
      </c>
      <c r="H60" s="23" t="n">
        <f aca="false">C60-F60-G60</f>
        <v>2377.82600884396</v>
      </c>
      <c r="I60" s="44" t="n">
        <f aca="false">YEAR(B60)</f>
        <v>2012</v>
      </c>
    </row>
    <row r="61" customFormat="false" ht="15" hidden="false" customHeight="true" outlineLevel="0" collapsed="false">
      <c r="A61" s="44" t="n">
        <v>53</v>
      </c>
      <c r="B61" s="45" t="n">
        <f aca="false">DATE(2008,A61+1,0)</f>
        <v>41060</v>
      </c>
      <c r="C61" s="23" t="n">
        <f aca="false">H60</f>
        <v>2377.82600884396</v>
      </c>
      <c r="D61" s="23" t="n">
        <f aca="false">$C$6</f>
        <v>40.7792422449141</v>
      </c>
      <c r="E61" s="23" t="n">
        <f aca="false">C61*Supuestos!$C$7/12</f>
        <v>10.8983692072015</v>
      </c>
      <c r="F61" s="23" t="n">
        <f aca="false">D61-E61</f>
        <v>29.8808730377126</v>
      </c>
      <c r="G61" s="23" t="n">
        <f aca="false">IF(A61=Supuestos!$C$14,C61-F61,0)</f>
        <v>0</v>
      </c>
      <c r="H61" s="23" t="n">
        <f aca="false">C61-F61-G61</f>
        <v>2347.94513580625</v>
      </c>
      <c r="I61" s="44" t="n">
        <f aca="false">YEAR(B61)</f>
        <v>2012</v>
      </c>
    </row>
    <row r="62" customFormat="false" ht="15" hidden="false" customHeight="true" outlineLevel="0" collapsed="false">
      <c r="A62" s="44" t="n">
        <v>54</v>
      </c>
      <c r="B62" s="45" t="n">
        <f aca="false">DATE(2008,A62+1,0)</f>
        <v>41090</v>
      </c>
      <c r="C62" s="23" t="n">
        <f aca="false">H61</f>
        <v>2347.94513580625</v>
      </c>
      <c r="D62" s="23" t="n">
        <f aca="false">$C$6</f>
        <v>40.7792422449141</v>
      </c>
      <c r="E62" s="23" t="n">
        <f aca="false">C62*Supuestos!$C$7/12</f>
        <v>10.7614152057786</v>
      </c>
      <c r="F62" s="23" t="n">
        <f aca="false">D62-E62</f>
        <v>30.0178270391355</v>
      </c>
      <c r="G62" s="23" t="n">
        <f aca="false">IF(A62=Supuestos!$C$14,C62-F62,0)</f>
        <v>0</v>
      </c>
      <c r="H62" s="23" t="n">
        <f aca="false">C62-F62-G62</f>
        <v>2317.92730876711</v>
      </c>
      <c r="I62" s="44" t="n">
        <f aca="false">YEAR(B62)</f>
        <v>2012</v>
      </c>
    </row>
    <row r="63" customFormat="false" ht="15" hidden="false" customHeight="true" outlineLevel="0" collapsed="false">
      <c r="A63" s="44" t="n">
        <v>55</v>
      </c>
      <c r="B63" s="45" t="n">
        <f aca="false">DATE(2008,A63+1,0)</f>
        <v>41121</v>
      </c>
      <c r="C63" s="23" t="n">
        <f aca="false">H62</f>
        <v>2317.92730876711</v>
      </c>
      <c r="D63" s="23" t="n">
        <f aca="false">$C$6</f>
        <v>40.7792422449141</v>
      </c>
      <c r="E63" s="23" t="n">
        <f aca="false">C63*Supuestos!$C$7/12</f>
        <v>10.6238334985159</v>
      </c>
      <c r="F63" s="23" t="n">
        <f aca="false">D63-E63</f>
        <v>30.1554087463982</v>
      </c>
      <c r="G63" s="23" t="n">
        <f aca="false">IF(A63=Supuestos!$C$14,C63-F63,0)</f>
        <v>0</v>
      </c>
      <c r="H63" s="23" t="n">
        <f aca="false">C63-F63-G63</f>
        <v>2287.77190002071</v>
      </c>
      <c r="I63" s="44" t="n">
        <f aca="false">YEAR(B63)</f>
        <v>2012</v>
      </c>
    </row>
    <row r="64" customFormat="false" ht="15" hidden="false" customHeight="true" outlineLevel="0" collapsed="false">
      <c r="A64" s="44" t="n">
        <v>56</v>
      </c>
      <c r="B64" s="45" t="n">
        <f aca="false">DATE(2008,A64+1,0)</f>
        <v>41152</v>
      </c>
      <c r="C64" s="23" t="n">
        <f aca="false">H63</f>
        <v>2287.77190002071</v>
      </c>
      <c r="D64" s="23" t="n">
        <f aca="false">$C$6</f>
        <v>40.7792422449141</v>
      </c>
      <c r="E64" s="23" t="n">
        <f aca="false">C64*Supuestos!$C$7/12</f>
        <v>10.4856212084283</v>
      </c>
      <c r="F64" s="23" t="n">
        <f aca="false">D64-E64</f>
        <v>30.2936210364858</v>
      </c>
      <c r="G64" s="23" t="n">
        <f aca="false">IF(A64=Supuestos!$C$14,C64-F64,0)</f>
        <v>0</v>
      </c>
      <c r="H64" s="23" t="n">
        <f aca="false">C64-F64-G64</f>
        <v>2257.47827898423</v>
      </c>
      <c r="I64" s="44" t="n">
        <f aca="false">YEAR(B64)</f>
        <v>2012</v>
      </c>
    </row>
    <row r="65" customFormat="false" ht="15" hidden="false" customHeight="true" outlineLevel="0" collapsed="false">
      <c r="A65" s="44" t="n">
        <v>57</v>
      </c>
      <c r="B65" s="45" t="n">
        <f aca="false">DATE(2008,A65+1,0)</f>
        <v>41182</v>
      </c>
      <c r="C65" s="23" t="n">
        <f aca="false">H64</f>
        <v>2257.47827898423</v>
      </c>
      <c r="D65" s="23" t="n">
        <f aca="false">$C$6</f>
        <v>40.7792422449141</v>
      </c>
      <c r="E65" s="23" t="n">
        <f aca="false">C65*Supuestos!$C$7/12</f>
        <v>10.3467754453444</v>
      </c>
      <c r="F65" s="23" t="n">
        <f aca="false">D65-E65</f>
        <v>30.4324667995697</v>
      </c>
      <c r="G65" s="23" t="n">
        <f aca="false">IF(A65=Supuestos!$C$14,C65-F65,0)</f>
        <v>0</v>
      </c>
      <c r="H65" s="23" t="n">
        <f aca="false">C65-F65-G65</f>
        <v>2227.04581218466</v>
      </c>
      <c r="I65" s="44" t="n">
        <f aca="false">YEAR(B65)</f>
        <v>2012</v>
      </c>
    </row>
    <row r="66" customFormat="false" ht="15" hidden="false" customHeight="true" outlineLevel="0" collapsed="false">
      <c r="A66" s="44" t="n">
        <v>58</v>
      </c>
      <c r="B66" s="45" t="n">
        <f aca="false">DATE(2008,A66+1,0)</f>
        <v>41213</v>
      </c>
      <c r="C66" s="23" t="n">
        <f aca="false">H65</f>
        <v>2227.04581218466</v>
      </c>
      <c r="D66" s="23" t="n">
        <f aca="false">$C$6</f>
        <v>40.7792422449141</v>
      </c>
      <c r="E66" s="23" t="n">
        <f aca="false">C66*Supuestos!$C$7/12</f>
        <v>10.2072933058464</v>
      </c>
      <c r="F66" s="23" t="n">
        <f aca="false">D66-E66</f>
        <v>30.5719489390678</v>
      </c>
      <c r="G66" s="23" t="n">
        <f aca="false">IF(A66=Supuestos!$C$14,C66-F66,0)</f>
        <v>0</v>
      </c>
      <c r="H66" s="23" t="n">
        <f aca="false">C66-F66-G66</f>
        <v>2196.47386324559</v>
      </c>
      <c r="I66" s="44" t="n">
        <f aca="false">YEAR(B66)</f>
        <v>2012</v>
      </c>
    </row>
    <row r="67" customFormat="false" ht="15" hidden="false" customHeight="true" outlineLevel="0" collapsed="false">
      <c r="A67" s="44" t="n">
        <v>59</v>
      </c>
      <c r="B67" s="45" t="n">
        <f aca="false">DATE(2008,A67+1,0)</f>
        <v>41243</v>
      </c>
      <c r="C67" s="23" t="n">
        <f aca="false">H66</f>
        <v>2196.47386324559</v>
      </c>
      <c r="D67" s="23" t="n">
        <f aca="false">$C$6</f>
        <v>40.7792422449141</v>
      </c>
      <c r="E67" s="23" t="n">
        <f aca="false">C67*Supuestos!$C$7/12</f>
        <v>10.067171873209</v>
      </c>
      <c r="F67" s="23" t="n">
        <f aca="false">D67-E67</f>
        <v>30.7120703717052</v>
      </c>
      <c r="G67" s="23" t="n">
        <f aca="false">IF(A67=Supuestos!$C$14,C67-F67,0)</f>
        <v>0</v>
      </c>
      <c r="H67" s="23" t="n">
        <f aca="false">C67-F67-G67</f>
        <v>2165.76179287389</v>
      </c>
      <c r="I67" s="44" t="n">
        <f aca="false">YEAR(B67)</f>
        <v>2012</v>
      </c>
    </row>
    <row r="68" customFormat="false" ht="15" hidden="false" customHeight="true" outlineLevel="0" collapsed="false">
      <c r="A68" s="44" t="n">
        <v>60</v>
      </c>
      <c r="B68" s="45" t="n">
        <f aca="false">DATE(2008,A68+1,0)</f>
        <v>41274</v>
      </c>
      <c r="C68" s="23" t="n">
        <f aca="false">H67</f>
        <v>2165.76179287389</v>
      </c>
      <c r="D68" s="23" t="n">
        <f aca="false">$C$6</f>
        <v>40.7792422449141</v>
      </c>
      <c r="E68" s="23" t="n">
        <f aca="false">C68*Supuestos!$C$7/12</f>
        <v>9.92640821733864</v>
      </c>
      <c r="F68" s="23" t="n">
        <f aca="false">D68-E68</f>
        <v>30.8528340275755</v>
      </c>
      <c r="G68" s="23" t="n">
        <f aca="false">IF(A68=Supuestos!$C$14,C68-F68,0)</f>
        <v>2134.90895884631</v>
      </c>
      <c r="H68" s="23" t="n">
        <f aca="false">C68-F68-G68</f>
        <v>0</v>
      </c>
      <c r="I68" s="44" t="n">
        <f aca="false">YEAR(B68)</f>
        <v>2012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4"/>
    <col collapsed="false" customWidth="true" hidden="false" outlineLevel="0" max="9" min="3" style="1" width="12"/>
    <col collapsed="false" customWidth="true" hidden="false" outlineLevel="0" max="10" min="10" style="1" width="50"/>
  </cols>
  <sheetData>
    <row r="1" customFormat="false" ht="15.75" hidden="false" customHeight="true" outlineLevel="0" collapsed="false">
      <c r="A1" s="2" t="s">
        <v>398</v>
      </c>
    </row>
    <row r="3" customFormat="false" ht="15" hidden="false" customHeight="true" outlineLevel="0" collapsed="false">
      <c r="A3" s="4" t="s">
        <v>399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true" outlineLevel="0" collapsed="false">
      <c r="A4" s="6" t="s">
        <v>57</v>
      </c>
      <c r="C4" s="6" t="s">
        <v>400</v>
      </c>
      <c r="D4" s="6" t="s">
        <v>58</v>
      </c>
      <c r="E4" s="6" t="s">
        <v>59</v>
      </c>
      <c r="F4" s="6" t="s">
        <v>60</v>
      </c>
      <c r="G4" s="6" t="s">
        <v>61</v>
      </c>
      <c r="H4" s="6" t="s">
        <v>62</v>
      </c>
      <c r="I4" s="6" t="s">
        <v>401</v>
      </c>
    </row>
    <row r="5" customFormat="false" ht="15" hidden="false" customHeight="true" outlineLevel="0" collapsed="false">
      <c r="A5" s="7" t="s">
        <v>115</v>
      </c>
      <c r="C5" s="43" t="n">
        <f aca="false">Historicos!$E$5</f>
        <v>3679.237</v>
      </c>
      <c r="D5" s="23" t="n">
        <f aca="false">C5*(1+D6)</f>
        <v>4194.33018</v>
      </c>
      <c r="E5" s="23" t="n">
        <f aca="false">D5*(1+E6)</f>
        <v>4781.5364052</v>
      </c>
      <c r="F5" s="23" t="n">
        <f aca="false">E5*(1+F6)</f>
        <v>5379.22845585</v>
      </c>
      <c r="G5" s="23" t="n">
        <f aca="false">F5*(1+G6)</f>
        <v>5917.151301435</v>
      </c>
      <c r="H5" s="23" t="n">
        <f aca="false">G5*(1+H6)</f>
        <v>6331.35189253545</v>
      </c>
    </row>
    <row r="6" customFormat="false" ht="15" hidden="false" customHeight="true" outlineLevel="0" collapsed="false">
      <c r="A6" s="7" t="s">
        <v>63</v>
      </c>
      <c r="C6" s="25" t="n">
        <f aca="false">Historicos!$E$103</f>
        <v>0.144607252963997</v>
      </c>
      <c r="D6" s="24" t="n">
        <f aca="false">Supuestos!D$36+Supuestos!$C$63</f>
        <v>0.14</v>
      </c>
      <c r="E6" s="24" t="n">
        <f aca="false">Supuestos!E$36+Supuestos!$C$63</f>
        <v>0.14</v>
      </c>
      <c r="F6" s="24" t="n">
        <f aca="false">Supuestos!F$36+Supuestos!$C$63</f>
        <v>0.125</v>
      </c>
      <c r="G6" s="24" t="n">
        <f aca="false">Supuestos!G$36+Supuestos!$C$63</f>
        <v>0.1</v>
      </c>
      <c r="H6" s="24" t="n">
        <f aca="false">Supuestos!H$36+Supuestos!$C$63</f>
        <v>0.07</v>
      </c>
    </row>
    <row r="7" customFormat="false" ht="15" hidden="false" customHeight="true" outlineLevel="0" collapsed="false">
      <c r="A7" s="7" t="s">
        <v>116</v>
      </c>
      <c r="C7" s="43" t="n">
        <f aca="false">Historicos!$E$6</f>
        <v>267.027</v>
      </c>
      <c r="D7" s="23" t="n">
        <f aca="false">D5*Supuestos!$C$45</f>
        <v>314.773150238733</v>
      </c>
      <c r="E7" s="23" t="n">
        <f aca="false">E5*Supuestos!$C$45</f>
        <v>358.841391272155</v>
      </c>
      <c r="F7" s="23" t="n">
        <f aca="false">F5*Supuestos!$C$45</f>
        <v>403.696565181175</v>
      </c>
      <c r="G7" s="23" t="n">
        <f aca="false">G5*Supuestos!$C$45</f>
        <v>444.066221699292</v>
      </c>
      <c r="H7" s="23" t="n">
        <f aca="false">H5*Supuestos!$C$45</f>
        <v>475.150857218243</v>
      </c>
    </row>
    <row r="8" customFormat="false" ht="15" hidden="false" customHeight="true" outlineLevel="0" collapsed="false">
      <c r="A8" s="6" t="s">
        <v>117</v>
      </c>
      <c r="C8" s="43" t="n">
        <f aca="false">Historicos!$E$7</f>
        <v>3946.264</v>
      </c>
      <c r="D8" s="22" t="n">
        <f aca="false">D5+D7</f>
        <v>4509.10333023873</v>
      </c>
      <c r="E8" s="22" t="n">
        <f aca="false">E5+E7</f>
        <v>5140.37779647216</v>
      </c>
      <c r="F8" s="22" t="n">
        <f aca="false">F5+F7</f>
        <v>5782.92502103118</v>
      </c>
      <c r="G8" s="22" t="n">
        <f aca="false">G5+G7</f>
        <v>6361.21752313429</v>
      </c>
      <c r="H8" s="22" t="n">
        <f aca="false">H5+H7</f>
        <v>6806.5027497537</v>
      </c>
    </row>
    <row r="9" customFormat="false" ht="15" hidden="false" customHeight="true" outlineLevel="0" collapsed="false">
      <c r="A9" s="7" t="s">
        <v>118</v>
      </c>
      <c r="C9" s="43" t="n">
        <f aca="false">Historicos!$E$8</f>
        <v>717.075</v>
      </c>
      <c r="D9" s="23" t="n">
        <f aca="false">D5*Supuestos!D$37</f>
        <v>838.866036</v>
      </c>
      <c r="E9" s="23" t="n">
        <f aca="false">E5*Supuestos!E$37</f>
        <v>956.30728104</v>
      </c>
      <c r="F9" s="23" t="n">
        <f aca="false">F5*Supuestos!F$37</f>
        <v>1075.84569117</v>
      </c>
      <c r="G9" s="23" t="n">
        <f aca="false">G5*Supuestos!G$37</f>
        <v>1183.430260287</v>
      </c>
      <c r="H9" s="23" t="n">
        <f aca="false">H5*Supuestos!H$37</f>
        <v>1266.27037850709</v>
      </c>
    </row>
    <row r="10" customFormat="false" ht="15" hidden="false" customHeight="true" outlineLevel="0" collapsed="false">
      <c r="A10" s="7" t="s">
        <v>119</v>
      </c>
      <c r="C10" s="43" t="n">
        <f aca="false">Historicos!$E$9</f>
        <v>640.225</v>
      </c>
      <c r="D10" s="23" t="n">
        <f aca="false">D7*Supuestos!D$38</f>
        <v>755.455560572958</v>
      </c>
      <c r="E10" s="23" t="n">
        <f aca="false">E7*Supuestos!E$38</f>
        <v>861.219339053173</v>
      </c>
      <c r="F10" s="23" t="n">
        <f aca="false">F7*Supuestos!F$38</f>
        <v>968.871756434819</v>
      </c>
      <c r="G10" s="23" t="n">
        <f aca="false">G7*Supuestos!G$38</f>
        <v>1065.7589320783</v>
      </c>
      <c r="H10" s="23" t="n">
        <f aca="false">H7*Supuestos!H$38</f>
        <v>1140.36205732378</v>
      </c>
    </row>
    <row r="11" customFormat="false" ht="15" hidden="false" customHeight="true" outlineLevel="0" collapsed="false">
      <c r="A11" s="7" t="s">
        <v>402</v>
      </c>
      <c r="C11" s="43" t="n">
        <f aca="false">Historicos!$E$10</f>
        <v>1555.639</v>
      </c>
      <c r="D11" s="23" t="n">
        <f aca="false">D8*(Supuestos!D$39+Supuestos!$C$64)</f>
        <v>1803.64133209549</v>
      </c>
      <c r="E11" s="23" t="n">
        <f aca="false">E8*(Supuestos!E$39+Supuestos!$C$64)</f>
        <v>2056.15111858886</v>
      </c>
      <c r="F11" s="23" t="n">
        <f aca="false">F8*(Supuestos!F$39+Supuestos!$C$64)</f>
        <v>2313.17000841247</v>
      </c>
      <c r="G11" s="23" t="n">
        <f aca="false">G8*(Supuestos!G$39+Supuestos!$C$64)</f>
        <v>2544.48700925372</v>
      </c>
      <c r="H11" s="23" t="n">
        <f aca="false">H8*(Supuestos!H$39+Supuestos!$C$64)</f>
        <v>2722.60109990148</v>
      </c>
    </row>
    <row r="12" customFormat="false" ht="15" hidden="false" customHeight="true" outlineLevel="0" collapsed="false">
      <c r="A12" s="6" t="s">
        <v>121</v>
      </c>
      <c r="C12" s="43" t="n">
        <f aca="false">Historicos!$E$11</f>
        <v>1033.325</v>
      </c>
      <c r="D12" s="22" t="n">
        <f aca="false">D8-D9-D10-D11</f>
        <v>1111.14040157028</v>
      </c>
      <c r="E12" s="22" t="n">
        <f aca="false">E8-E9-E10-E11</f>
        <v>1266.70005779012</v>
      </c>
      <c r="F12" s="22" t="n">
        <f aca="false">F8-F9-F10-F11</f>
        <v>1425.03756501389</v>
      </c>
      <c r="G12" s="22" t="n">
        <f aca="false">G8-G9-G10-G11</f>
        <v>1567.54132151528</v>
      </c>
      <c r="H12" s="22" t="n">
        <f aca="false">H8-H9-H10-H11</f>
        <v>1677.26921402134</v>
      </c>
    </row>
    <row r="13" customFormat="false" ht="15" hidden="false" customHeight="true" outlineLevel="0" collapsed="false">
      <c r="A13" s="7" t="s">
        <v>208</v>
      </c>
      <c r="C13" s="24" t="n">
        <f aca="false">C12/C8</f>
        <v>0.261848928505544</v>
      </c>
      <c r="D13" s="24" t="n">
        <f aca="false">D12/D8</f>
        <v>0.246421587662187</v>
      </c>
      <c r="E13" s="24" t="n">
        <f aca="false">E12/E8</f>
        <v>0.246421587662187</v>
      </c>
      <c r="F13" s="24" t="n">
        <f aca="false">F12/F8</f>
        <v>0.246421587662187</v>
      </c>
      <c r="G13" s="24" t="n">
        <f aca="false">G12/G8</f>
        <v>0.246421587662187</v>
      </c>
      <c r="H13" s="24" t="n">
        <f aca="false">H12/H8</f>
        <v>0.246421587662187</v>
      </c>
    </row>
    <row r="14" customFormat="false" ht="15" hidden="false" customHeight="true" outlineLevel="0" collapsed="false">
      <c r="A14" s="7" t="s">
        <v>69</v>
      </c>
      <c r="C14" s="43" t="n">
        <f aca="false">Historicos!$E$12</f>
        <v>582.269</v>
      </c>
      <c r="D14" s="23" t="n">
        <f aca="false">D8*Supuestos!D$42</f>
        <v>705.229319748866</v>
      </c>
      <c r="E14" s="23" t="n">
        <f aca="false">E8*Supuestos!E$42</f>
        <v>803.961424513707</v>
      </c>
      <c r="F14" s="23" t="n">
        <f aca="false">F8*Supuestos!F$42</f>
        <v>867.438753154676</v>
      </c>
      <c r="G14" s="23" t="n">
        <f aca="false">G8*Supuestos!G$42</f>
        <v>922.376540854473</v>
      </c>
      <c r="H14" s="23" t="n">
        <f aca="false">H8*Supuestos!H$42</f>
        <v>952.910384965518</v>
      </c>
    </row>
    <row r="15" customFormat="false" ht="15" hidden="false" customHeight="true" outlineLevel="0" collapsed="false">
      <c r="A15" s="7" t="s">
        <v>298</v>
      </c>
      <c r="C15" s="43" t="n">
        <f aca="false">Historicos!$E$13</f>
        <v>451.056000000001</v>
      </c>
      <c r="D15" s="23" t="n">
        <f aca="false">D12-D14</f>
        <v>405.911081821415</v>
      </c>
      <c r="E15" s="23" t="n">
        <f aca="false">E12-E14</f>
        <v>462.738633276415</v>
      </c>
      <c r="F15" s="23" t="n">
        <f aca="false">F12-F14</f>
        <v>557.59881185921</v>
      </c>
      <c r="G15" s="23" t="n">
        <f aca="false">G12-G14</f>
        <v>645.164780660802</v>
      </c>
      <c r="H15" s="23" t="n">
        <f aca="false">H12-H14</f>
        <v>724.358829055826</v>
      </c>
    </row>
    <row r="16" customFormat="false" ht="15" hidden="false" customHeight="true" outlineLevel="0" collapsed="false">
      <c r="A16" s="7" t="s">
        <v>403</v>
      </c>
      <c r="D16" s="23" t="n">
        <f aca="false">D15*Supuestos!$C$6</f>
        <v>162.364432728566</v>
      </c>
      <c r="E16" s="23" t="n">
        <f aca="false">E15*Supuestos!$C$6</f>
        <v>185.095453310566</v>
      </c>
      <c r="F16" s="23" t="n">
        <f aca="false">F15*Supuestos!$C$6</f>
        <v>223.039524743684</v>
      </c>
      <c r="G16" s="23" t="n">
        <f aca="false">G15*Supuestos!$C$6</f>
        <v>258.065912264321</v>
      </c>
      <c r="H16" s="23" t="n">
        <f aca="false">H15*Supuestos!$C$6</f>
        <v>289.743531622331</v>
      </c>
    </row>
    <row r="17" customFormat="false" ht="15" hidden="false" customHeight="true" outlineLevel="0" collapsed="false">
      <c r="A17" s="6" t="s">
        <v>404</v>
      </c>
      <c r="D17" s="22" t="n">
        <f aca="false">D15-D16</f>
        <v>243.546649092849</v>
      </c>
      <c r="E17" s="22" t="n">
        <f aca="false">E15-E16</f>
        <v>277.643179965849</v>
      </c>
      <c r="F17" s="22" t="n">
        <f aca="false">F15-F16</f>
        <v>334.559287115526</v>
      </c>
      <c r="G17" s="22" t="n">
        <f aca="false">G15-G16</f>
        <v>387.098868396481</v>
      </c>
      <c r="H17" s="22" t="n">
        <f aca="false">H15-H16</f>
        <v>434.615297433496</v>
      </c>
      <c r="I17" s="23" t="n">
        <f aca="false">H17*(1+H34)</f>
        <v>446.698065420544</v>
      </c>
    </row>
    <row r="18" customFormat="false" ht="15" hidden="false" customHeight="true" outlineLevel="0" collapsed="false">
      <c r="A18" s="7" t="s">
        <v>405</v>
      </c>
      <c r="C18" s="23" t="n">
        <f aca="false">C9+C10+C11</f>
        <v>2912.939</v>
      </c>
      <c r="D18" s="23" t="n">
        <f aca="false">D9+D10+D11</f>
        <v>3397.96292866845</v>
      </c>
      <c r="E18" s="23" t="n">
        <f aca="false">E9+E10+E11</f>
        <v>3873.67773868204</v>
      </c>
      <c r="F18" s="23" t="n">
        <f aca="false">F9+F10+F11</f>
        <v>4357.88745601729</v>
      </c>
      <c r="G18" s="23" t="n">
        <f aca="false">G9+G10+G11</f>
        <v>4793.67620161902</v>
      </c>
      <c r="H18" s="23" t="n">
        <f aca="false">H9+H10+H11</f>
        <v>5129.23353573235</v>
      </c>
    </row>
    <row r="19" customFormat="false" ht="15" hidden="false" customHeight="true" outlineLevel="0" collapsed="false">
      <c r="A19" s="7" t="s">
        <v>144</v>
      </c>
      <c r="C19" s="43" t="n">
        <f aca="false">Historicos!$E$37</f>
        <v>435.497</v>
      </c>
      <c r="D19" s="23" t="n">
        <f aca="false">D8*Supuestos!$C$46/360</f>
        <v>521.895126277519</v>
      </c>
      <c r="E19" s="23" t="n">
        <f aca="false">E8*Supuestos!$C$46/360</f>
        <v>594.960443956372</v>
      </c>
      <c r="F19" s="23" t="n">
        <f aca="false">F8*Supuestos!$C$46/360</f>
        <v>669.330499450918</v>
      </c>
      <c r="G19" s="23" t="n">
        <f aca="false">G8*Supuestos!$C$46/360</f>
        <v>736.26354939601</v>
      </c>
      <c r="H19" s="23" t="n">
        <f aca="false">H8*Supuestos!$C$46/360</f>
        <v>787.801997853731</v>
      </c>
    </row>
    <row r="20" customFormat="false" ht="15" hidden="false" customHeight="true" outlineLevel="0" collapsed="false">
      <c r="A20" s="7" t="s">
        <v>145</v>
      </c>
      <c r="C20" s="43" t="n">
        <f aca="false">Historicos!$E$38</f>
        <v>100.99</v>
      </c>
      <c r="D20" s="23" t="n">
        <f aca="false">D7*Supuestos!$C$47/360</f>
        <v>134.967917493034</v>
      </c>
      <c r="E20" s="23" t="n">
        <f aca="false">E7*Supuestos!$C$47/360</f>
        <v>153.863425942058</v>
      </c>
      <c r="F20" s="23" t="n">
        <f aca="false">F7*Supuestos!$C$47/360</f>
        <v>173.096354184816</v>
      </c>
      <c r="G20" s="23" t="n">
        <f aca="false">G7*Supuestos!$C$47/360</f>
        <v>190.405989603297</v>
      </c>
      <c r="H20" s="23" t="n">
        <f aca="false">H7*Supuestos!$C$47/360</f>
        <v>203.734408875528</v>
      </c>
    </row>
    <row r="21" customFormat="false" ht="15" hidden="false" customHeight="true" outlineLevel="0" collapsed="false">
      <c r="A21" s="7" t="s">
        <v>146</v>
      </c>
      <c r="C21" s="43" t="n">
        <f aca="false">Historicos!$E$39</f>
        <v>41.588</v>
      </c>
      <c r="D21" s="23" t="n">
        <f aca="false">D18*Supuestos!$C$48</f>
        <v>46.9148279087146</v>
      </c>
      <c r="E21" s="23" t="n">
        <f aca="false">E18*Supuestos!$C$48</f>
        <v>53.4829038159346</v>
      </c>
      <c r="F21" s="23" t="n">
        <f aca="false">F18*Supuestos!$C$48</f>
        <v>60.1682667929265</v>
      </c>
      <c r="G21" s="23" t="n">
        <f aca="false">G18*Supuestos!$C$48</f>
        <v>66.1850934722191</v>
      </c>
      <c r="H21" s="23" t="n">
        <f aca="false">H18*Supuestos!$C$48</f>
        <v>70.8180500152745</v>
      </c>
    </row>
    <row r="22" customFormat="false" ht="15" hidden="false" customHeight="true" outlineLevel="0" collapsed="false">
      <c r="A22" s="7" t="s">
        <v>159</v>
      </c>
      <c r="C22" s="43" t="n">
        <f aca="false">Historicos!$E$52</f>
        <v>260.791</v>
      </c>
      <c r="D22" s="23" t="n">
        <f aca="false">D18*Supuestos!$C$49/360</f>
        <v>335.421319224516</v>
      </c>
      <c r="E22" s="23" t="n">
        <f aca="false">E18*Supuestos!$C$49/360</f>
        <v>382.380303915948</v>
      </c>
      <c r="F22" s="23" t="n">
        <f aca="false">F18*Supuestos!$C$49/360</f>
        <v>430.177841905442</v>
      </c>
      <c r="G22" s="23" t="n">
        <f aca="false">G18*Supuestos!$C$49/360</f>
        <v>473.195626095986</v>
      </c>
      <c r="H22" s="23" t="n">
        <f aca="false">H18*Supuestos!$C$49/360</f>
        <v>506.319319922705</v>
      </c>
    </row>
    <row r="23" customFormat="false" ht="15" hidden="false" customHeight="true" outlineLevel="0" collapsed="false">
      <c r="A23" s="7" t="s">
        <v>406</v>
      </c>
      <c r="C23" s="43" t="n">
        <f aca="false">Historicos!$E$53</f>
        <v>143.445</v>
      </c>
      <c r="D23" s="23" t="n">
        <f aca="false">D5*Supuestos!$C$50/360</f>
        <v>163.25424736171</v>
      </c>
      <c r="E23" s="23" t="n">
        <f aca="false">E5*Supuestos!$C$50/360</f>
        <v>186.10984199235</v>
      </c>
      <c r="F23" s="23" t="n">
        <f aca="false">F5*Supuestos!$C$50/360</f>
        <v>209.373572241393</v>
      </c>
      <c r="G23" s="23" t="n">
        <f aca="false">G5*Supuestos!$C$50/360</f>
        <v>230.310929465533</v>
      </c>
      <c r="H23" s="23" t="n">
        <f aca="false">H5*Supuestos!$C$50/360</f>
        <v>246.43269452812</v>
      </c>
    </row>
    <row r="24" customFormat="false" ht="15" hidden="false" customHeight="true" outlineLevel="0" collapsed="false">
      <c r="A24" s="7" t="s">
        <v>161</v>
      </c>
      <c r="C24" s="43" t="n">
        <f aca="false">Historicos!$E$54</f>
        <v>59.224</v>
      </c>
      <c r="D24" s="23" t="n">
        <f aca="false">D18*Supuestos!$C$51/360</f>
        <v>64.609039874482</v>
      </c>
      <c r="E24" s="23" t="n">
        <f aca="false">E18*Supuestos!$C$51/360</f>
        <v>73.6543054569094</v>
      </c>
      <c r="F24" s="23" t="n">
        <f aca="false">F18*Supuestos!$C$51/360</f>
        <v>82.8610936390231</v>
      </c>
      <c r="G24" s="23" t="n">
        <f aca="false">G18*Supuestos!$C$51/360</f>
        <v>91.1472030029255</v>
      </c>
      <c r="H24" s="23" t="n">
        <f aca="false">H18*Supuestos!$C$51/360</f>
        <v>97.5275072131303</v>
      </c>
    </row>
    <row r="25" customFormat="false" ht="15" hidden="false" customHeight="true" outlineLevel="0" collapsed="false">
      <c r="A25" s="7" t="s">
        <v>407</v>
      </c>
      <c r="C25" s="23" t="n">
        <f aca="false">C19+C20+C21-C22-C23-C24</f>
        <v>114.615</v>
      </c>
      <c r="D25" s="23" t="n">
        <f aca="false">D19+D20+D21-D22-D23-D24</f>
        <v>140.493265218559</v>
      </c>
      <c r="E25" s="23" t="n">
        <f aca="false">E19+E20+E21-E22-E23-E24</f>
        <v>160.162322349157</v>
      </c>
      <c r="F25" s="23" t="n">
        <f aca="false">F19+F20+F21-F22-F23-F24</f>
        <v>180.182612642802</v>
      </c>
      <c r="G25" s="23" t="n">
        <f aca="false">G19+G20+G21-G22-G23-G24</f>
        <v>198.200873907082</v>
      </c>
      <c r="H25" s="23" t="n">
        <f aca="false">H19+H20+H21-H22-H23-H24</f>
        <v>212.074935080578</v>
      </c>
    </row>
    <row r="26" customFormat="false" ht="15" hidden="false" customHeight="true" outlineLevel="0" collapsed="false">
      <c r="A26" s="7" t="s">
        <v>408</v>
      </c>
      <c r="D26" s="23" t="n">
        <f aca="false">D25-C25</f>
        <v>25.8782652185592</v>
      </c>
      <c r="E26" s="23" t="n">
        <f aca="false">E25-D25</f>
        <v>19.6690571305983</v>
      </c>
      <c r="F26" s="23" t="n">
        <f aca="false">F25-E25</f>
        <v>20.0202902936448</v>
      </c>
      <c r="G26" s="23" t="n">
        <f aca="false">G25-F25</f>
        <v>18.0182612642802</v>
      </c>
      <c r="H26" s="23" t="n">
        <f aca="false">H25-G25</f>
        <v>13.8740611734958</v>
      </c>
    </row>
    <row r="27" customFormat="false" ht="15" hidden="false" customHeight="true" outlineLevel="0" collapsed="false">
      <c r="A27" s="7" t="s">
        <v>409</v>
      </c>
      <c r="D27" s="23" t="n">
        <f aca="false">D8*(Supuestos!D$41+Supuestos!$C$65)</f>
        <v>631.274466233423</v>
      </c>
      <c r="E27" s="23" t="n">
        <f aca="false">E8*(Supuestos!E$41+Supuestos!$C$65)</f>
        <v>719.652891506102</v>
      </c>
      <c r="F27" s="23" t="n">
        <f aca="false">F8*(Supuestos!F$41+Supuestos!$C$65)</f>
        <v>867.438753154676</v>
      </c>
      <c r="G27" s="23" t="n">
        <f aca="false">G8*(Supuestos!G$41+Supuestos!$C$65)</f>
        <v>970.08567227798</v>
      </c>
      <c r="H27" s="23" t="n">
        <f aca="false">H8*(Supuestos!H$41+Supuestos!$C$65)</f>
        <v>1055.00792621182</v>
      </c>
    </row>
    <row r="28" customFormat="false" ht="15" hidden="false" customHeight="true" outlineLevel="0" collapsed="false">
      <c r="A28" s="6" t="s">
        <v>410</v>
      </c>
      <c r="D28" s="22" t="n">
        <f aca="false">D17+D14-D27-D26</f>
        <v>291.623237389733</v>
      </c>
      <c r="E28" s="22" t="n">
        <f aca="false">E17+E14-E27-E26</f>
        <v>342.282655842855</v>
      </c>
      <c r="F28" s="22" t="n">
        <f aca="false">F17+F14-F27-F26</f>
        <v>314.538996821881</v>
      </c>
      <c r="G28" s="22" t="n">
        <f aca="false">G17+G14-G27-G26</f>
        <v>321.371475708694</v>
      </c>
      <c r="H28" s="22" t="n">
        <f aca="false">H17+H14-H27-H26</f>
        <v>318.643695013695</v>
      </c>
      <c r="I28" s="22" t="n">
        <f aca="false">I17*(1-H35)</f>
        <v>327.502328982914</v>
      </c>
    </row>
    <row r="29" customFormat="false" ht="15" hidden="false" customHeight="true" outlineLevel="0" collapsed="false">
      <c r="A29" s="7" t="s">
        <v>411</v>
      </c>
      <c r="C29" s="43" t="n">
        <f aca="false">Historicos!$E$90+Historicos!$E$62+Historicos!$E$57</f>
        <v>4198.449</v>
      </c>
      <c r="D29" s="23" t="n">
        <f aca="false">C29+D27-D14+D26</f>
        <v>4150.37241170312</v>
      </c>
      <c r="E29" s="23" t="n">
        <f aca="false">D29+E27-E14+E26</f>
        <v>4085.73293582611</v>
      </c>
      <c r="F29" s="23" t="n">
        <f aca="false">E29+F27-F14+F26</f>
        <v>4105.75322611975</v>
      </c>
      <c r="G29" s="23" t="n">
        <f aca="false">F29+G27-G14+G26</f>
        <v>4171.48061880754</v>
      </c>
      <c r="H29" s="23" t="n">
        <f aca="false">G29+H27-H14+H26</f>
        <v>4287.45222122734</v>
      </c>
    </row>
    <row r="30" customFormat="false" ht="15" hidden="false" customHeight="true" outlineLevel="0" collapsed="false">
      <c r="A30" s="7" t="s">
        <v>412</v>
      </c>
      <c r="D30" s="24" t="n">
        <f aca="false">D17/C29</f>
        <v>0.0580087191943618</v>
      </c>
      <c r="E30" s="24" t="n">
        <f aca="false">E17/D29</f>
        <v>0.0668959679818027</v>
      </c>
      <c r="F30" s="24" t="n">
        <f aca="false">F17/E29</f>
        <v>0.0818847664226688</v>
      </c>
      <c r="G30" s="24" t="n">
        <f aca="false">G17/F29</f>
        <v>0.0942820591198363</v>
      </c>
      <c r="H30" s="24" t="n">
        <f aca="false">H17/G29</f>
        <v>0.104187298743278</v>
      </c>
    </row>
    <row r="31" customFormat="false" ht="15" hidden="false" customHeight="true" outlineLevel="0" collapsed="false">
      <c r="A31" s="7" t="s">
        <v>413</v>
      </c>
      <c r="D31" s="24" t="n">
        <f aca="false">(D27-D14+D26)/D17</f>
        <v>-0.197401969914008</v>
      </c>
      <c r="E31" s="24" t="n">
        <f aca="false">(E27-E14+E26)/E17</f>
        <v>-0.232814924122961</v>
      </c>
      <c r="F31" s="24" t="n">
        <f aca="false">(F27-F14+F26)/F17</f>
        <v>0.0598407847716737</v>
      </c>
      <c r="G31" s="24" t="n">
        <f aca="false">(G27-G14+G26)/G17</f>
        <v>0.169794845849217</v>
      </c>
      <c r="H31" s="24" t="n">
        <f aca="false">(H27-H14+H26)/H17</f>
        <v>0.266837368828571</v>
      </c>
    </row>
    <row r="33" customFormat="false" ht="15" hidden="false" customHeight="true" outlineLevel="0" collapsed="false">
      <c r="A33" s="7" t="s">
        <v>414</v>
      </c>
      <c r="H33" s="10" t="n">
        <f aca="false">H30*H31</f>
        <v>0.0278010646620126</v>
      </c>
    </row>
    <row r="34" customFormat="false" ht="15" hidden="false" customHeight="true" outlineLevel="0" collapsed="false">
      <c r="A34" s="6" t="s">
        <v>415</v>
      </c>
      <c r="H34" s="46" t="n">
        <f aca="false">IF(Supuestos!$C$24=1,H33,Supuestos!$C$25)</f>
        <v>0.0278010646620126</v>
      </c>
    </row>
    <row r="35" customFormat="false" ht="15" hidden="false" customHeight="true" outlineLevel="0" collapsed="false">
      <c r="A35" s="7" t="s">
        <v>416</v>
      </c>
      <c r="H35" s="24" t="n">
        <f aca="false">H34/H30</f>
        <v>0.266837368828571</v>
      </c>
    </row>
    <row r="36" customFormat="false" ht="15" hidden="false" customHeight="true" outlineLevel="0" collapsed="false">
      <c r="A36" s="7" t="s">
        <v>417</v>
      </c>
      <c r="H36" s="23" t="n">
        <f aca="false">I28/(Costo_Capital!$C$16-H34)</f>
        <v>6773.61504971895</v>
      </c>
    </row>
    <row r="37" customFormat="false" ht="15" hidden="false" customHeight="true" outlineLevel="0" collapsed="false">
      <c r="A37" s="7" t="s">
        <v>418</v>
      </c>
      <c r="H37" s="23" t="n">
        <f aca="false">H12*IF(Supuestos!$C$26=1,Comparables!$P$11,Comparables!$P$13)</f>
        <v>17331.9489442867</v>
      </c>
    </row>
    <row r="38" customFormat="false" ht="15" hidden="false" customHeight="true" outlineLevel="0" collapsed="false">
      <c r="A38" s="7" t="s">
        <v>419</v>
      </c>
      <c r="H38" s="23" t="n">
        <f aca="false">NPV(Costo_Capital!$C$10,D28:H28)</f>
        <v>1258.41701747142</v>
      </c>
    </row>
    <row r="39" customFormat="false" ht="15" hidden="false" customHeight="true" outlineLevel="0" collapsed="false">
      <c r="A39" s="7" t="s">
        <v>420</v>
      </c>
      <c r="H39" s="23" t="n">
        <f aca="false">H36/(1+Costo_Capital!$C$10)^5</f>
        <v>4560.44376052538</v>
      </c>
    </row>
    <row r="40" customFormat="false" ht="15" hidden="false" customHeight="true" outlineLevel="0" collapsed="false">
      <c r="A40" s="7" t="s">
        <v>421</v>
      </c>
      <c r="H40" s="23" t="n">
        <f aca="false">NPV(Supuestos!$C$7,Deuda!$L$13:$P$13)</f>
        <v>284.783121267308</v>
      </c>
    </row>
    <row r="41" customFormat="false" ht="15" hidden="false" customHeight="true" outlineLevel="0" collapsed="false">
      <c r="A41" s="6" t="s">
        <v>422</v>
      </c>
      <c r="H41" s="22" t="n">
        <f aca="false">H38+H39+H40</f>
        <v>6103.6438992641</v>
      </c>
    </row>
    <row r="42" customFormat="false" ht="15" hidden="false" customHeight="true" outlineLevel="0" collapsed="false">
      <c r="A42" s="7" t="s">
        <v>423</v>
      </c>
      <c r="H42" s="23" t="n">
        <f aca="false">Valoracion!$C$20</f>
        <v>1944.487135</v>
      </c>
    </row>
    <row r="43" customFormat="false" ht="15" hidden="false" customHeight="true" outlineLevel="0" collapsed="false">
      <c r="A43" s="7" t="s">
        <v>424</v>
      </c>
      <c r="H43" s="23" t="n">
        <f aca="false">Valoracion!$C$26</f>
        <v>1289.78732</v>
      </c>
    </row>
    <row r="44" customFormat="false" ht="15" hidden="false" customHeight="true" outlineLevel="0" collapsed="false">
      <c r="A44" s="6" t="s">
        <v>425</v>
      </c>
      <c r="H44" s="22" t="n">
        <f aca="false">H41+H42-H43</f>
        <v>6758.3437142641</v>
      </c>
    </row>
    <row r="47" customFormat="false" ht="15" hidden="false" customHeight="true" outlineLevel="0" collapsed="false">
      <c r="A47" s="4" t="s">
        <v>426</v>
      </c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true" outlineLevel="0" collapsed="false">
      <c r="C48" s="6" t="s">
        <v>427</v>
      </c>
      <c r="D48" s="6" t="s">
        <v>58</v>
      </c>
      <c r="E48" s="6" t="s">
        <v>59</v>
      </c>
      <c r="F48" s="6" t="s">
        <v>60</v>
      </c>
      <c r="G48" s="6" t="s">
        <v>61</v>
      </c>
      <c r="H48" s="6" t="s">
        <v>62</v>
      </c>
      <c r="J48" s="6" t="s">
        <v>428</v>
      </c>
    </row>
    <row r="49" customFormat="false" ht="15" hidden="false" customHeight="true" outlineLevel="0" collapsed="false">
      <c r="A49" s="7" t="s">
        <v>298</v>
      </c>
      <c r="C49" s="23" t="n">
        <f aca="false">C15</f>
        <v>451.056000000001</v>
      </c>
      <c r="D49" s="23" t="n">
        <f aca="false">D15</f>
        <v>405.911081821415</v>
      </c>
      <c r="E49" s="23" t="n">
        <f aca="false">E15</f>
        <v>462.738633276415</v>
      </c>
      <c r="F49" s="23" t="n">
        <f aca="false">F15</f>
        <v>557.59881185921</v>
      </c>
      <c r="G49" s="23" t="n">
        <f aca="false">G15</f>
        <v>645.164780660802</v>
      </c>
      <c r="H49" s="23" t="n">
        <f aca="false">H15</f>
        <v>724.358829055826</v>
      </c>
      <c r="J49" s="7" t="s">
        <v>429</v>
      </c>
    </row>
    <row r="50" customFormat="false" ht="15" hidden="false" customHeight="true" outlineLevel="0" collapsed="false">
      <c r="A50" s="7" t="s">
        <v>430</v>
      </c>
      <c r="D50" s="43" t="n">
        <f aca="false">Deuda!L$9</f>
        <v>199.428958364936</v>
      </c>
      <c r="E50" s="43" t="n">
        <f aca="false">Deuda!M$9</f>
        <v>183.07508156707</v>
      </c>
      <c r="F50" s="43" t="n">
        <f aca="false">Deuda!N$9</f>
        <v>165.798717570027</v>
      </c>
      <c r="G50" s="43" t="n">
        <f aca="false">Deuda!O$9</f>
        <v>147.54783084467</v>
      </c>
      <c r="H50" s="43" t="n">
        <f aca="false">Deuda!P$9</f>
        <v>128.267450648996</v>
      </c>
      <c r="J50" s="7" t="s">
        <v>431</v>
      </c>
    </row>
    <row r="51" customFormat="false" ht="15" hidden="false" customHeight="true" outlineLevel="0" collapsed="false">
      <c r="A51" s="7" t="s">
        <v>432</v>
      </c>
      <c r="D51" s="23" t="n">
        <f aca="false">C70*Supuestos!$C$7</f>
        <v>0</v>
      </c>
      <c r="E51" s="23" t="n">
        <f aca="false">D70*Supuestos!$C$7</f>
        <v>6.48758474117939</v>
      </c>
      <c r="F51" s="23" t="n">
        <f aca="false">E70*Supuestos!$C$7</f>
        <v>10.762777053449</v>
      </c>
      <c r="G51" s="23" t="n">
        <f aca="false">F70*Supuestos!$C$7</f>
        <v>17.0850319661121</v>
      </c>
      <c r="H51" s="23" t="n">
        <f aca="false">G70*Supuestos!$C$7</f>
        <v>23.6416544600762</v>
      </c>
      <c r="J51" s="7" t="s">
        <v>433</v>
      </c>
    </row>
    <row r="52" customFormat="false" ht="15" hidden="false" customHeight="true" outlineLevel="0" collapsed="false">
      <c r="A52" s="7" t="s">
        <v>127</v>
      </c>
      <c r="D52" s="23" t="n">
        <f aca="false">D49-D50-D51</f>
        <v>206.482123456479</v>
      </c>
      <c r="E52" s="23" t="n">
        <f aca="false">E49-E50-E51</f>
        <v>273.175966968165</v>
      </c>
      <c r="F52" s="23" t="n">
        <f aca="false">F49-F50-F51</f>
        <v>381.037317235734</v>
      </c>
      <c r="G52" s="23" t="n">
        <f aca="false">G49-G50-G51</f>
        <v>480.531917850021</v>
      </c>
      <c r="H52" s="23" t="n">
        <f aca="false">H49-H50-H51</f>
        <v>572.449723946754</v>
      </c>
      <c r="J52" s="7" t="s">
        <v>434</v>
      </c>
    </row>
    <row r="53" customFormat="false" ht="15" hidden="false" customHeight="true" outlineLevel="0" collapsed="false">
      <c r="A53" s="7" t="s">
        <v>128</v>
      </c>
      <c r="D53" s="23" t="n">
        <f aca="false">D52*Supuestos!$C$6</f>
        <v>82.5928493825915</v>
      </c>
      <c r="E53" s="23" t="n">
        <f aca="false">E52*Supuestos!$C$6</f>
        <v>109.270386787266</v>
      </c>
      <c r="F53" s="23" t="n">
        <f aca="false">F52*Supuestos!$C$6</f>
        <v>152.414926894293</v>
      </c>
      <c r="G53" s="23" t="n">
        <f aca="false">G52*Supuestos!$C$6</f>
        <v>192.212767140008</v>
      </c>
      <c r="H53" s="23" t="n">
        <f aca="false">H52*Supuestos!$C$6</f>
        <v>228.979889578702</v>
      </c>
      <c r="J53" s="7" t="s">
        <v>435</v>
      </c>
    </row>
    <row r="54" customFormat="false" ht="15" hidden="false" customHeight="true" outlineLevel="0" collapsed="false">
      <c r="A54" s="6" t="s">
        <v>436</v>
      </c>
      <c r="D54" s="22" t="n">
        <f aca="false">D52-D53</f>
        <v>123.889274073887</v>
      </c>
      <c r="E54" s="22" t="n">
        <f aca="false">E52-E53</f>
        <v>163.905580180899</v>
      </c>
      <c r="F54" s="22" t="n">
        <f aca="false">F52-F53</f>
        <v>228.62239034144</v>
      </c>
      <c r="G54" s="22" t="n">
        <f aca="false">G52-G53</f>
        <v>288.319150710012</v>
      </c>
      <c r="H54" s="22" t="n">
        <f aca="false">H52-H53</f>
        <v>343.469834368053</v>
      </c>
    </row>
    <row r="56" customFormat="false" ht="15" hidden="false" customHeight="true" outlineLevel="0" collapsed="false">
      <c r="A56" s="7" t="s">
        <v>437</v>
      </c>
      <c r="C56" s="16" t="n">
        <v>0</v>
      </c>
      <c r="D56" s="23" t="n">
        <f aca="false">MAX(0,D84)</f>
        <v>0</v>
      </c>
      <c r="E56" s="23" t="n">
        <f aca="false">MAX(0,E84)</f>
        <v>0</v>
      </c>
      <c r="F56" s="23" t="n">
        <f aca="false">MAX(0,F84)</f>
        <v>0</v>
      </c>
      <c r="G56" s="23" t="n">
        <f aca="false">MAX(0,G84)</f>
        <v>0</v>
      </c>
      <c r="H56" s="23" t="n">
        <f aca="false">MAX(0,H84)</f>
        <v>0</v>
      </c>
    </row>
    <row r="57" customFormat="false" ht="15" hidden="false" customHeight="true" outlineLevel="0" collapsed="false">
      <c r="A57" s="7" t="s">
        <v>144</v>
      </c>
      <c r="C57" s="23" t="n">
        <f aca="false">C19</f>
        <v>435.497</v>
      </c>
      <c r="D57" s="23" t="n">
        <f aca="false">D19</f>
        <v>521.895126277519</v>
      </c>
      <c r="E57" s="23" t="n">
        <f aca="false">E19</f>
        <v>594.960443956372</v>
      </c>
      <c r="F57" s="23" t="n">
        <f aca="false">F19</f>
        <v>669.330499450918</v>
      </c>
      <c r="G57" s="23" t="n">
        <f aca="false">G19</f>
        <v>736.26354939601</v>
      </c>
      <c r="H57" s="23" t="n">
        <f aca="false">H19</f>
        <v>787.801997853731</v>
      </c>
    </row>
    <row r="58" customFormat="false" ht="15" hidden="false" customHeight="true" outlineLevel="0" collapsed="false">
      <c r="A58" s="7" t="s">
        <v>145</v>
      </c>
      <c r="C58" s="23" t="n">
        <f aca="false">C20</f>
        <v>100.99</v>
      </c>
      <c r="D58" s="23" t="n">
        <f aca="false">D20</f>
        <v>134.967917493034</v>
      </c>
      <c r="E58" s="23" t="n">
        <f aca="false">E20</f>
        <v>153.863425942058</v>
      </c>
      <c r="F58" s="23" t="n">
        <f aca="false">F20</f>
        <v>173.096354184816</v>
      </c>
      <c r="G58" s="23" t="n">
        <f aca="false">G20</f>
        <v>190.405989603297</v>
      </c>
      <c r="H58" s="23" t="n">
        <f aca="false">H20</f>
        <v>203.734408875528</v>
      </c>
    </row>
    <row r="59" customFormat="false" ht="15" hidden="false" customHeight="true" outlineLevel="0" collapsed="false">
      <c r="A59" s="7" t="s">
        <v>146</v>
      </c>
      <c r="C59" s="23" t="n">
        <f aca="false">C21</f>
        <v>41.588</v>
      </c>
      <c r="D59" s="23" t="n">
        <f aca="false">D21</f>
        <v>46.9148279087146</v>
      </c>
      <c r="E59" s="23" t="n">
        <f aca="false">E21</f>
        <v>53.4829038159346</v>
      </c>
      <c r="F59" s="23" t="n">
        <f aca="false">F21</f>
        <v>60.1682667929265</v>
      </c>
      <c r="G59" s="23" t="n">
        <f aca="false">G21</f>
        <v>66.1850934722191</v>
      </c>
      <c r="H59" s="23" t="n">
        <f aca="false">H21</f>
        <v>70.8180500152745</v>
      </c>
    </row>
    <row r="60" customFormat="false" ht="15" hidden="false" customHeight="true" outlineLevel="0" collapsed="false">
      <c r="A60" s="7" t="s">
        <v>438</v>
      </c>
      <c r="C60" s="43" t="n">
        <f aca="false">Historicos!$E$41+Historicos!$E$40</f>
        <v>34.793</v>
      </c>
      <c r="D60" s="23" t="n">
        <f aca="false">C60</f>
        <v>34.793</v>
      </c>
      <c r="E60" s="23" t="n">
        <f aca="false">D60</f>
        <v>34.793</v>
      </c>
      <c r="F60" s="23" t="n">
        <f aca="false">E60</f>
        <v>34.793</v>
      </c>
      <c r="G60" s="23" t="n">
        <f aca="false">F60</f>
        <v>34.793</v>
      </c>
      <c r="H60" s="23" t="n">
        <f aca="false">G60</f>
        <v>34.793</v>
      </c>
    </row>
    <row r="61" customFormat="false" ht="15" hidden="false" customHeight="true" outlineLevel="0" collapsed="false">
      <c r="A61" s="7" t="s">
        <v>439</v>
      </c>
      <c r="C61" s="43" t="n">
        <f aca="false">Historicos!$E$96</f>
        <v>4092.917</v>
      </c>
      <c r="D61" s="23" t="n">
        <f aca="false">C61+D27-D14</f>
        <v>4018.96214648456</v>
      </c>
      <c r="E61" s="23" t="n">
        <f aca="false">D61+E27-E14</f>
        <v>3934.65361347695</v>
      </c>
      <c r="F61" s="23" t="n">
        <f aca="false">E61+F27-F14</f>
        <v>3934.65361347695</v>
      </c>
      <c r="G61" s="23" t="n">
        <f aca="false">F61+G27-G14</f>
        <v>3982.36274490046</v>
      </c>
      <c r="H61" s="23" t="n">
        <f aca="false">G61+H27-H14</f>
        <v>4084.46028614676</v>
      </c>
    </row>
    <row r="62" customFormat="false" ht="15" hidden="false" customHeight="true" outlineLevel="0" collapsed="false">
      <c r="A62" s="7" t="s">
        <v>440</v>
      </c>
      <c r="C62" s="43" t="n">
        <f aca="false">Historicos!$E$49</f>
        <v>491.316</v>
      </c>
      <c r="D62" s="23" t="n">
        <f aca="false">C62</f>
        <v>491.316</v>
      </c>
      <c r="E62" s="23" t="n">
        <f aca="false">D62</f>
        <v>491.316</v>
      </c>
      <c r="F62" s="23" t="n">
        <f aca="false">E62</f>
        <v>491.316</v>
      </c>
      <c r="G62" s="23" t="n">
        <f aca="false">F62</f>
        <v>491.316</v>
      </c>
      <c r="H62" s="23" t="n">
        <f aca="false">G62</f>
        <v>491.316</v>
      </c>
    </row>
    <row r="63" customFormat="false" ht="15" hidden="false" customHeight="true" outlineLevel="0" collapsed="false">
      <c r="A63" s="7" t="s">
        <v>441</v>
      </c>
      <c r="C63" s="43" t="n">
        <f aca="false">Historicos!$E$47+Historicos!$E$48+Historicos!$E$50+Historicos!$E$46</f>
        <v>193.888</v>
      </c>
      <c r="D63" s="23" t="n">
        <f aca="false">C63</f>
        <v>193.888</v>
      </c>
      <c r="E63" s="23" t="n">
        <f aca="false">D63</f>
        <v>193.888</v>
      </c>
      <c r="F63" s="23" t="n">
        <f aca="false">E63</f>
        <v>193.888</v>
      </c>
      <c r="G63" s="23" t="n">
        <f aca="false">F63</f>
        <v>193.888</v>
      </c>
      <c r="H63" s="23" t="n">
        <f aca="false">G63</f>
        <v>193.888</v>
      </c>
    </row>
    <row r="64" customFormat="false" ht="15" hidden="false" customHeight="true" outlineLevel="0" collapsed="false">
      <c r="A64" s="6" t="s">
        <v>158</v>
      </c>
      <c r="C64" s="22" t="n">
        <f aca="false">C56+C57+C58+C59+C60+C61+C62+C63</f>
        <v>5390.989</v>
      </c>
      <c r="D64" s="22" t="n">
        <f aca="false">D56+D57+D58+D59+D60+D61+D62+D63</f>
        <v>5442.73701816382</v>
      </c>
      <c r="E64" s="22" t="n">
        <f aca="false">E56+E57+E58+E59+E60+E61+E62+E63</f>
        <v>5456.95738719132</v>
      </c>
      <c r="F64" s="22" t="n">
        <f aca="false">F56+F57+F58+F59+F60+F61+F62+F63</f>
        <v>5557.24573390561</v>
      </c>
      <c r="G64" s="22" t="n">
        <f aca="false">G56+G57+G58+G59+G60+G61+G62+G63</f>
        <v>5695.21437737198</v>
      </c>
      <c r="H64" s="22" t="n">
        <f aca="false">H56+H57+H58+H59+H60+H61+H62+H63</f>
        <v>5866.8117428913</v>
      </c>
    </row>
    <row r="66" customFormat="false" ht="15" hidden="false" customHeight="true" outlineLevel="0" collapsed="false">
      <c r="A66" s="7" t="s">
        <v>159</v>
      </c>
      <c r="C66" s="23" t="n">
        <f aca="false">C22</f>
        <v>260.791</v>
      </c>
      <c r="D66" s="23" t="n">
        <f aca="false">D22</f>
        <v>335.421319224516</v>
      </c>
      <c r="E66" s="23" t="n">
        <f aca="false">E22</f>
        <v>382.380303915948</v>
      </c>
      <c r="F66" s="23" t="n">
        <f aca="false">F22</f>
        <v>430.177841905442</v>
      </c>
      <c r="G66" s="23" t="n">
        <f aca="false">G22</f>
        <v>473.195626095986</v>
      </c>
      <c r="H66" s="23" t="n">
        <f aca="false">H22</f>
        <v>506.319319922705</v>
      </c>
    </row>
    <row r="67" customFormat="false" ht="15" hidden="false" customHeight="true" outlineLevel="0" collapsed="false">
      <c r="A67" s="7" t="s">
        <v>406</v>
      </c>
      <c r="C67" s="23" t="n">
        <f aca="false">C23</f>
        <v>143.445</v>
      </c>
      <c r="D67" s="23" t="n">
        <f aca="false">D23</f>
        <v>163.25424736171</v>
      </c>
      <c r="E67" s="23" t="n">
        <f aca="false">E23</f>
        <v>186.10984199235</v>
      </c>
      <c r="F67" s="23" t="n">
        <f aca="false">F23</f>
        <v>209.373572241393</v>
      </c>
      <c r="G67" s="23" t="n">
        <f aca="false">G23</f>
        <v>230.310929465533</v>
      </c>
      <c r="H67" s="23" t="n">
        <f aca="false">H23</f>
        <v>246.43269452812</v>
      </c>
    </row>
    <row r="68" customFormat="false" ht="15" hidden="false" customHeight="true" outlineLevel="0" collapsed="false">
      <c r="A68" s="7" t="s">
        <v>161</v>
      </c>
      <c r="C68" s="23" t="n">
        <f aca="false">C24</f>
        <v>59.224</v>
      </c>
      <c r="D68" s="23" t="n">
        <f aca="false">D24</f>
        <v>64.609039874482</v>
      </c>
      <c r="E68" s="23" t="n">
        <f aca="false">E24</f>
        <v>73.6543054569094</v>
      </c>
      <c r="F68" s="23" t="n">
        <f aca="false">F24</f>
        <v>82.8610936390231</v>
      </c>
      <c r="G68" s="23" t="n">
        <f aca="false">G24</f>
        <v>91.1472030029255</v>
      </c>
      <c r="H68" s="23" t="n">
        <f aca="false">H24</f>
        <v>97.5275072131303</v>
      </c>
    </row>
    <row r="69" customFormat="false" ht="15" hidden="false" customHeight="true" outlineLevel="0" collapsed="false">
      <c r="A69" s="7" t="s">
        <v>442</v>
      </c>
      <c r="C69" s="43" t="n">
        <f aca="false">Historicos!$E$55+Historicos!$E$60+Historicos!$E$56</f>
        <v>140.783</v>
      </c>
      <c r="D69" s="23" t="n">
        <f aca="false">C69</f>
        <v>140.783</v>
      </c>
      <c r="E69" s="23" t="n">
        <f aca="false">D69</f>
        <v>140.783</v>
      </c>
      <c r="F69" s="23" t="n">
        <f aca="false">E69</f>
        <v>140.783</v>
      </c>
      <c r="G69" s="23" t="n">
        <f aca="false">F69</f>
        <v>140.783</v>
      </c>
      <c r="H69" s="23" t="n">
        <f aca="false">G69</f>
        <v>140.783</v>
      </c>
    </row>
    <row r="70" customFormat="false" ht="15" hidden="false" customHeight="true" outlineLevel="0" collapsed="false">
      <c r="A70" s="7" t="s">
        <v>443</v>
      </c>
      <c r="C70" s="16" t="n">
        <v>0</v>
      </c>
      <c r="D70" s="23" t="n">
        <f aca="false">MAX(0,-D84)</f>
        <v>117.956086203262</v>
      </c>
      <c r="E70" s="23" t="n">
        <f aca="false">MAX(0,-E84)</f>
        <v>195.686855517255</v>
      </c>
      <c r="F70" s="23" t="n">
        <f aca="false">MAX(0,-F84)</f>
        <v>310.636944838402</v>
      </c>
      <c r="G70" s="23" t="n">
        <f aca="false">MAX(0,-G84)</f>
        <v>429.848262910477</v>
      </c>
      <c r="H70" s="23" t="n">
        <f aca="false">MAX(0,-H84)</f>
        <v>563.433487252199</v>
      </c>
    </row>
    <row r="71" customFormat="false" ht="15" hidden="false" customHeight="true" outlineLevel="0" collapsed="false">
      <c r="A71" s="7" t="s">
        <v>444</v>
      </c>
      <c r="C71" s="43" t="n">
        <f aca="false">Deuda!$C$5</f>
        <v>3757.54545454546</v>
      </c>
      <c r="D71" s="43" t="n">
        <f aca="false">Deuda!L$12</f>
        <v>3467.62350597142</v>
      </c>
      <c r="E71" s="43" t="n">
        <f aca="false">Deuda!M$12</f>
        <v>3161.34768059953</v>
      </c>
      <c r="F71" s="43" t="n">
        <f aca="false">Deuda!N$12</f>
        <v>2837.79549123058</v>
      </c>
      <c r="G71" s="43" t="n">
        <f aca="false">Deuda!O$12</f>
        <v>2495.99241513628</v>
      </c>
      <c r="H71" s="43" t="n">
        <f aca="false">Deuda!P$12</f>
        <v>2134.90895884631</v>
      </c>
    </row>
    <row r="72" customFormat="false" ht="15" hidden="false" customHeight="true" outlineLevel="0" collapsed="false">
      <c r="A72" s="7" t="s">
        <v>445</v>
      </c>
      <c r="C72" s="43" t="n">
        <f aca="false">Historicos!$E$65+Historicos!$E$66+Historicos!$E$67</f>
        <v>765.786</v>
      </c>
      <c r="D72" s="23" t="n">
        <f aca="false">C72</f>
        <v>765.786</v>
      </c>
      <c r="E72" s="23" t="n">
        <f aca="false">D72</f>
        <v>765.786</v>
      </c>
      <c r="F72" s="23" t="n">
        <f aca="false">E72</f>
        <v>765.786</v>
      </c>
      <c r="G72" s="23" t="n">
        <f aca="false">F72</f>
        <v>765.786</v>
      </c>
      <c r="H72" s="23" t="n">
        <f aca="false">G72</f>
        <v>765.786</v>
      </c>
    </row>
    <row r="73" customFormat="false" ht="15" hidden="false" customHeight="true" outlineLevel="0" collapsed="false">
      <c r="A73" s="7" t="s">
        <v>446</v>
      </c>
      <c r="C73" s="43" t="n">
        <f aca="false">Historicos!$E$68</f>
        <v>43.396</v>
      </c>
      <c r="D73" s="23" t="n">
        <f aca="false">C73</f>
        <v>43.396</v>
      </c>
      <c r="E73" s="23" t="n">
        <f aca="false">D73</f>
        <v>43.396</v>
      </c>
      <c r="F73" s="23" t="n">
        <f aca="false">E73</f>
        <v>43.396</v>
      </c>
      <c r="G73" s="23" t="n">
        <f aca="false">F73</f>
        <v>43.396</v>
      </c>
      <c r="H73" s="23" t="n">
        <f aca="false">G73</f>
        <v>43.396</v>
      </c>
    </row>
    <row r="74" customFormat="false" ht="15" hidden="false" customHeight="true" outlineLevel="0" collapsed="false">
      <c r="A74" s="6" t="s">
        <v>349</v>
      </c>
      <c r="C74" s="23" t="n">
        <f aca="false">Historicos!$E$90-(Deuda!$C$5-Historicos!$E$62-Historicos!$E$57)-(Historicos!$E$35+Historicos!$E$36)</f>
        <v>220.018545454544</v>
      </c>
      <c r="D74" s="23" t="n">
        <f aca="false">C74+D54</f>
        <v>343.907819528431</v>
      </c>
      <c r="E74" s="23" t="n">
        <f aca="false">D74+E54</f>
        <v>507.81339970933</v>
      </c>
      <c r="F74" s="23" t="n">
        <f aca="false">E74+F54</f>
        <v>736.43579005077</v>
      </c>
      <c r="G74" s="23" t="n">
        <f aca="false">F74+G54</f>
        <v>1024.75494076078</v>
      </c>
      <c r="H74" s="23" t="n">
        <f aca="false">G74+H54</f>
        <v>1368.22477512884</v>
      </c>
    </row>
    <row r="75" customFormat="false" ht="15" hidden="false" customHeight="true" outlineLevel="0" collapsed="false">
      <c r="A75" s="6" t="s">
        <v>183</v>
      </c>
      <c r="C75" s="22" t="n">
        <f aca="false">C66+C67+C68+C69+C70+C71+C72+C73+C74</f>
        <v>5390.989</v>
      </c>
      <c r="D75" s="22" t="n">
        <f aca="false">D66+D67+D68+D69+D70+D71+D72+D73+D74</f>
        <v>5442.73701816382</v>
      </c>
      <c r="E75" s="22" t="n">
        <f aca="false">E66+E67+E68+E69+E70+E71+E72+E73+E74</f>
        <v>5456.95738719132</v>
      </c>
      <c r="F75" s="22" t="n">
        <f aca="false">F66+F67+F68+F69+F70+F71+F72+F73+F74</f>
        <v>5557.24573390561</v>
      </c>
      <c r="G75" s="22" t="n">
        <f aca="false">G66+G67+G68+G69+G70+G71+G72+G73+G74</f>
        <v>5695.21437737199</v>
      </c>
      <c r="H75" s="22" t="n">
        <f aca="false">H66+H67+H68+H69+H70+H71+H72+H73+H74</f>
        <v>5866.8117428913</v>
      </c>
    </row>
    <row r="76" customFormat="false" ht="15" hidden="false" customHeight="true" outlineLevel="0" collapsed="false">
      <c r="A76" s="7" t="s">
        <v>184</v>
      </c>
      <c r="C76" s="23" t="n">
        <f aca="false">C64-C75</f>
        <v>0</v>
      </c>
      <c r="D76" s="23" t="n">
        <f aca="false">D64-D75</f>
        <v>0</v>
      </c>
      <c r="E76" s="23" t="n">
        <f aca="false">E64-E75</f>
        <v>0</v>
      </c>
      <c r="F76" s="23" t="n">
        <f aca="false">F64-F75</f>
        <v>0</v>
      </c>
      <c r="G76" s="23" t="n">
        <f aca="false">G64-G75</f>
        <v>0</v>
      </c>
      <c r="H76" s="23" t="n">
        <f aca="false">H64-H75</f>
        <v>0</v>
      </c>
      <c r="I76" s="23" t="n">
        <f aca="false">MAX(ABS(C76),ABS(D76),ABS(E76),ABS(F76),ABS(G76),ABS(H76))</f>
        <v>0</v>
      </c>
    </row>
    <row r="78" customFormat="false" ht="15" hidden="false" customHeight="true" outlineLevel="0" collapsed="false">
      <c r="A78" s="7" t="s">
        <v>447</v>
      </c>
      <c r="D78" s="23" t="n">
        <f aca="false">D54+D14-D26</f>
        <v>803.240328604194</v>
      </c>
      <c r="E78" s="23" t="n">
        <f aca="false">E54+E14-E26</f>
        <v>948.197947564008</v>
      </c>
      <c r="F78" s="23" t="n">
        <f aca="false">F54+F14-F26</f>
        <v>1076.04085320247</v>
      </c>
      <c r="G78" s="23" t="n">
        <f aca="false">G54+G14-G26</f>
        <v>1192.67743030021</v>
      </c>
      <c r="H78" s="23" t="n">
        <f aca="false">H54+H14-H26</f>
        <v>1282.50615816007</v>
      </c>
    </row>
    <row r="79" customFormat="false" ht="15" hidden="false" customHeight="true" outlineLevel="0" collapsed="false">
      <c r="A79" s="7" t="s">
        <v>448</v>
      </c>
      <c r="D79" s="23" t="n">
        <f aca="false">-D27</f>
        <v>-631.274466233423</v>
      </c>
      <c r="E79" s="23" t="n">
        <f aca="false">-E27</f>
        <v>-719.652891506102</v>
      </c>
      <c r="F79" s="23" t="n">
        <f aca="false">-F27</f>
        <v>-867.438753154676</v>
      </c>
      <c r="G79" s="23" t="n">
        <f aca="false">-G27</f>
        <v>-970.08567227798</v>
      </c>
      <c r="H79" s="23" t="n">
        <f aca="false">-H27</f>
        <v>-1055.00792621182</v>
      </c>
    </row>
    <row r="80" customFormat="false" ht="15" hidden="false" customHeight="true" outlineLevel="0" collapsed="false">
      <c r="A80" s="7" t="s">
        <v>449</v>
      </c>
      <c r="D80" s="43" t="n">
        <f aca="false">Deuda!L$10</f>
        <v>289.921948574033</v>
      </c>
      <c r="E80" s="43" t="n">
        <f aca="false">Deuda!M$10</f>
        <v>306.275825371899</v>
      </c>
      <c r="F80" s="43" t="n">
        <f aca="false">Deuda!N$10</f>
        <v>323.552189368942</v>
      </c>
      <c r="G80" s="43" t="n">
        <f aca="false">Deuda!O$10</f>
        <v>341.8030760943</v>
      </c>
      <c r="H80" s="43" t="n">
        <f aca="false">Deuda!P$10</f>
        <v>361.083456289973</v>
      </c>
    </row>
    <row r="81" customFormat="false" ht="15" hidden="false" customHeight="true" outlineLevel="0" collapsed="false">
      <c r="A81" s="7" t="s">
        <v>450</v>
      </c>
      <c r="D81" s="23" t="n">
        <f aca="false">D70-C70</f>
        <v>117.956086203262</v>
      </c>
      <c r="E81" s="23" t="n">
        <f aca="false">E70-D70</f>
        <v>77.7307693139935</v>
      </c>
      <c r="F81" s="23" t="n">
        <f aca="false">F70-E70</f>
        <v>114.950089321147</v>
      </c>
      <c r="G81" s="23" t="n">
        <f aca="false">G70-F70</f>
        <v>119.211318072074</v>
      </c>
      <c r="H81" s="23" t="n">
        <f aca="false">H70-G70</f>
        <v>133.585224341722</v>
      </c>
    </row>
    <row r="82" customFormat="false" ht="15" hidden="false" customHeight="true" outlineLevel="0" collapsed="false">
      <c r="A82" s="6" t="s">
        <v>451</v>
      </c>
      <c r="D82" s="22" t="n">
        <f aca="false">D78+D79-D80+D81</f>
        <v>0</v>
      </c>
      <c r="E82" s="22" t="n">
        <f aca="false">E78+E79-E80+E81</f>
        <v>0</v>
      </c>
      <c r="F82" s="22" t="n">
        <f aca="false">F78+F79-F80+F81</f>
        <v>0</v>
      </c>
      <c r="G82" s="22" t="n">
        <f aca="false">G78+G79-G80+G81</f>
        <v>0</v>
      </c>
      <c r="H82" s="22" t="n">
        <f aca="false">H78+H79-H80+H81</f>
        <v>0</v>
      </c>
    </row>
    <row r="83" customFormat="false" ht="15" hidden="false" customHeight="true" outlineLevel="0" collapsed="false">
      <c r="A83" s="7" t="s">
        <v>452</v>
      </c>
      <c r="D83" s="23" t="n">
        <f aca="false">D82-(D56-C56)</f>
        <v>0</v>
      </c>
      <c r="E83" s="23" t="n">
        <f aca="false">E82-(E56-D56)</f>
        <v>0</v>
      </c>
      <c r="F83" s="23" t="n">
        <f aca="false">F82-(F56-E56)</f>
        <v>0</v>
      </c>
      <c r="G83" s="23" t="n">
        <f aca="false">G82-(G56-F56)</f>
        <v>0</v>
      </c>
      <c r="H83" s="23" t="n">
        <f aca="false">H82-(H56-G56)</f>
        <v>0</v>
      </c>
      <c r="I83" s="23" t="n">
        <f aca="false">MAX(ABS(D83),ABS(E83),ABS(F83),ABS(G83),ABS(H83))</f>
        <v>0</v>
      </c>
    </row>
    <row r="84" customFormat="false" ht="15" hidden="false" customHeight="true" outlineLevel="0" collapsed="false">
      <c r="A84" s="7" t="s">
        <v>453</v>
      </c>
      <c r="D84" s="23" t="n">
        <f aca="false">C56-C70+D78+D79-D80</f>
        <v>-117.956086203262</v>
      </c>
      <c r="E84" s="23" t="n">
        <f aca="false">D56-D70+E78+E79-E80</f>
        <v>-195.686855517255</v>
      </c>
      <c r="F84" s="23" t="n">
        <f aca="false">E56-E70+F78+F79-F80</f>
        <v>-310.636944838402</v>
      </c>
      <c r="G84" s="23" t="n">
        <f aca="false">F56-F70+G78+G79-G80</f>
        <v>-429.848262910477</v>
      </c>
      <c r="H84" s="23" t="n">
        <f aca="false">G56-G70+H78+H79-H80</f>
        <v>-563.433487252199</v>
      </c>
    </row>
    <row r="86" customFormat="false" ht="15" hidden="false" customHeight="true" outlineLevel="0" collapsed="false">
      <c r="A86" s="7" t="s">
        <v>454</v>
      </c>
      <c r="C86" s="24" t="n">
        <f aca="false">C15/C8</f>
        <v>0.11429949947596</v>
      </c>
      <c r="D86" s="24" t="n">
        <f aca="false">D15/D8</f>
        <v>0.0900203548451227</v>
      </c>
      <c r="E86" s="24" t="n">
        <f aca="false">E15/E8</f>
        <v>0.0900203548451229</v>
      </c>
      <c r="F86" s="24" t="n">
        <f aca="false">F15/F8</f>
        <v>0.0964215876621866</v>
      </c>
      <c r="G86" s="24" t="n">
        <f aca="false">G15/G8</f>
        <v>0.101421587662187</v>
      </c>
      <c r="H86" s="24" t="n">
        <f aca="false">H15/H8</f>
        <v>0.106421587662186</v>
      </c>
    </row>
    <row r="87" customFormat="false" ht="15" hidden="false" customHeight="true" outlineLevel="0" collapsed="false">
      <c r="A87" s="7" t="s">
        <v>455</v>
      </c>
      <c r="D87" s="24" t="n">
        <f aca="false">D54/D8</f>
        <v>0.0274753681609084</v>
      </c>
      <c r="E87" s="24" t="n">
        <f aca="false">E54/E8</f>
        <v>0.0318859015174697</v>
      </c>
      <c r="F87" s="24" t="n">
        <f aca="false">F54/F8</f>
        <v>0.0395340402149419</v>
      </c>
      <c r="G87" s="24" t="n">
        <f aca="false">G54/G8</f>
        <v>0.0453245231217863</v>
      </c>
      <c r="H87" s="24" t="n">
        <f aca="false">H54/H8</f>
        <v>0.0504620136061036</v>
      </c>
    </row>
    <row r="88" customFormat="false" ht="15" hidden="false" customHeight="true" outlineLevel="0" collapsed="false">
      <c r="A88" s="7" t="s">
        <v>456</v>
      </c>
      <c r="D88" s="24" t="n">
        <f aca="false">D54/C74</f>
        <v>0.56308559725245</v>
      </c>
      <c r="E88" s="24" t="n">
        <f aca="false">E54/D74</f>
        <v>0.47659742196513</v>
      </c>
      <c r="F88" s="24" t="n">
        <f aca="false">F54/E74</f>
        <v>0.450209447943482</v>
      </c>
      <c r="G88" s="24" t="n">
        <f aca="false">G54/F74</f>
        <v>0.391506163341322</v>
      </c>
      <c r="H88" s="24" t="n">
        <f aca="false">H54/G74</f>
        <v>0.335172655145297</v>
      </c>
    </row>
    <row r="89" customFormat="false" ht="15" hidden="false" customHeight="true" outlineLevel="0" collapsed="false">
      <c r="A89" s="7" t="s">
        <v>457</v>
      </c>
      <c r="C89" s="27" t="n">
        <f aca="false">(C71+C70)/C12</f>
        <v>3.63636363636364</v>
      </c>
      <c r="D89" s="27" t="n">
        <f aca="false">(D71+D70)/D12</f>
        <v>3.22693656634885</v>
      </c>
      <c r="E89" s="27" t="n">
        <f aca="false">(E71+E70)/E12</f>
        <v>2.6502205596907</v>
      </c>
      <c r="F89" s="27" t="n">
        <f aca="false">(F71+F70)/F12</f>
        <v>2.20936802886197</v>
      </c>
      <c r="G89" s="27" t="n">
        <f aca="false">(G71+G70)/G12</f>
        <v>1.86651582187223</v>
      </c>
      <c r="H89" s="27" t="n">
        <f aca="false">(H71+H70)/H12</f>
        <v>1.60877122380914</v>
      </c>
    </row>
    <row r="90" customFormat="false" ht="15" hidden="false" customHeight="true" outlineLevel="0" collapsed="false">
      <c r="A90" s="7" t="s">
        <v>458</v>
      </c>
      <c r="D90" s="27" t="n">
        <f aca="false">D12/(D50+D51)</f>
        <v>5.5716101146003</v>
      </c>
      <c r="E90" s="27" t="n">
        <f aca="false">E12/(E50+E51)</f>
        <v>6.68222325872084</v>
      </c>
      <c r="F90" s="27" t="n">
        <f aca="false">F12/(F50+F51)</f>
        <v>8.07105517572124</v>
      </c>
      <c r="G90" s="27" t="n">
        <f aca="false">G12/(G50+G51)</f>
        <v>9.52143633265312</v>
      </c>
      <c r="H90" s="27" t="n">
        <f aca="false">H12/(H50+H51)</f>
        <v>11.0412684797073</v>
      </c>
    </row>
    <row r="91" customFormat="false" ht="15" hidden="false" customHeight="true" outlineLevel="0" collapsed="false">
      <c r="A91" s="7" t="s">
        <v>459</v>
      </c>
      <c r="C91" s="24" t="n">
        <f aca="false">C71/Proyeccion!$H$41</f>
        <v>0.615623309052891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4"/>
    <col collapsed="false" customWidth="true" hidden="false" outlineLevel="0" max="9" min="3" style="1" width="12"/>
    <col collapsed="false" customWidth="true" hidden="false" outlineLevel="0" max="10" min="10" style="1" width="50"/>
  </cols>
  <sheetData>
    <row r="1" customFormat="false" ht="15.75" hidden="false" customHeight="true" outlineLevel="0" collapsed="false">
      <c r="A1" s="2" t="s">
        <v>460</v>
      </c>
    </row>
    <row r="3" customFormat="false" ht="15" hidden="false" customHeight="true" outlineLevel="0" collapsed="false">
      <c r="C3" s="6" t="s">
        <v>114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62</v>
      </c>
      <c r="I3" s="6" t="s">
        <v>461</v>
      </c>
    </row>
    <row r="4" customFormat="false" ht="15" hidden="false" customHeight="true" outlineLevel="0" collapsed="false">
      <c r="A4" s="7" t="s">
        <v>462</v>
      </c>
      <c r="D4" s="43" t="n">
        <f aca="false">Proyeccion!D9</f>
        <v>838.866036</v>
      </c>
      <c r="E4" s="43" t="n">
        <f aca="false">Proyeccion!E9</f>
        <v>956.30728104</v>
      </c>
      <c r="F4" s="43" t="n">
        <f aca="false">Proyeccion!F9</f>
        <v>1075.84569117</v>
      </c>
      <c r="G4" s="43" t="n">
        <f aca="false">Proyeccion!G9</f>
        <v>1183.430260287</v>
      </c>
      <c r="H4" s="43" t="n">
        <f aca="false">Proyeccion!H9</f>
        <v>1266.27037850709</v>
      </c>
    </row>
    <row r="5" customFormat="false" ht="15" hidden="false" customHeight="true" outlineLevel="0" collapsed="false">
      <c r="A5" s="7" t="s">
        <v>463</v>
      </c>
      <c r="D5" s="25" t="n">
        <f aca="false">Supuestos!D$55</f>
        <v>0.2</v>
      </c>
      <c r="E5" s="25" t="n">
        <f aca="false">Supuestos!E$55</f>
        <v>0.2</v>
      </c>
      <c r="F5" s="25" t="n">
        <f aca="false">Supuestos!F$55</f>
        <v>0.2</v>
      </c>
      <c r="G5" s="25" t="n">
        <f aca="false">Supuestos!G$55</f>
        <v>0.2</v>
      </c>
      <c r="H5" s="25" t="n">
        <f aca="false">Supuestos!H$55</f>
        <v>0.2</v>
      </c>
    </row>
    <row r="6" customFormat="false" ht="15" hidden="false" customHeight="true" outlineLevel="0" collapsed="false">
      <c r="A6" s="7" t="s">
        <v>464</v>
      </c>
      <c r="D6" s="23" t="n">
        <f aca="false">D4*D5</f>
        <v>167.7732072</v>
      </c>
      <c r="E6" s="23" t="n">
        <f aca="false">E4*E5</f>
        <v>191.261456208</v>
      </c>
      <c r="F6" s="23" t="n">
        <f aca="false">F4*F5</f>
        <v>215.169138234</v>
      </c>
      <c r="G6" s="23" t="n">
        <f aca="false">G4*G5</f>
        <v>236.6860520574</v>
      </c>
      <c r="H6" s="23" t="n">
        <f aca="false">H4*H5</f>
        <v>253.254075701418</v>
      </c>
    </row>
    <row r="7" customFormat="false" ht="15" hidden="false" customHeight="true" outlineLevel="0" collapsed="false">
      <c r="A7" s="7" t="s">
        <v>93</v>
      </c>
      <c r="D7" s="25" t="n">
        <f aca="false">Supuestos!D$56</f>
        <v>0</v>
      </c>
      <c r="E7" s="25" t="n">
        <f aca="false">Supuestos!E$56</f>
        <v>0.07</v>
      </c>
      <c r="F7" s="25" t="n">
        <f aca="false">Supuestos!F$56</f>
        <v>0.12</v>
      </c>
      <c r="G7" s="25" t="n">
        <f aca="false">Supuestos!G$56</f>
        <v>0.222</v>
      </c>
      <c r="H7" s="25" t="n">
        <f aca="false">Supuestos!H$56</f>
        <v>0.3</v>
      </c>
    </row>
    <row r="8" customFormat="false" ht="15" hidden="false" customHeight="true" outlineLevel="0" collapsed="false">
      <c r="A8" s="6" t="s">
        <v>465</v>
      </c>
      <c r="D8" s="22" t="n">
        <f aca="false">D6*D7</f>
        <v>0</v>
      </c>
      <c r="E8" s="22" t="n">
        <f aca="false">E6*E7</f>
        <v>13.38830193456</v>
      </c>
      <c r="F8" s="22" t="n">
        <f aca="false">F6*F7</f>
        <v>25.82029658808</v>
      </c>
      <c r="G8" s="22" t="n">
        <f aca="false">G6*G7</f>
        <v>52.5443035567428</v>
      </c>
      <c r="H8" s="22" t="n">
        <f aca="false">H6*H7</f>
        <v>75.9762227104255</v>
      </c>
    </row>
    <row r="10" customFormat="false" ht="15" hidden="false" customHeight="true" outlineLevel="0" collapsed="false">
      <c r="A10" s="7" t="s">
        <v>95</v>
      </c>
      <c r="D10" s="18" t="n">
        <f aca="false">Supuestos!D$57</f>
        <v>0.3</v>
      </c>
      <c r="E10" s="18" t="n">
        <f aca="false">Supuestos!E$57</f>
        <v>0.5</v>
      </c>
      <c r="F10" s="18" t="n">
        <f aca="false">Supuestos!F$57</f>
        <v>0.7</v>
      </c>
      <c r="G10" s="18" t="n">
        <f aca="false">Supuestos!G$57</f>
        <v>1</v>
      </c>
      <c r="H10" s="18" t="n">
        <f aca="false">Supuestos!H$57</f>
        <v>1.2</v>
      </c>
    </row>
    <row r="11" customFormat="false" ht="15" hidden="false" customHeight="true" outlineLevel="0" collapsed="false">
      <c r="A11" s="7" t="s">
        <v>466</v>
      </c>
      <c r="D11" s="47" t="n">
        <f aca="false">Supuestos!D$58</f>
        <v>859</v>
      </c>
      <c r="E11" s="47" t="n">
        <f aca="false">Supuestos!E$58</f>
        <v>885</v>
      </c>
      <c r="F11" s="47" t="n">
        <f aca="false">Supuestos!F$58</f>
        <v>911</v>
      </c>
      <c r="G11" s="47" t="n">
        <f aca="false">Supuestos!G$58</f>
        <v>939</v>
      </c>
      <c r="H11" s="47" t="n">
        <f aca="false">Supuestos!H$58</f>
        <v>967</v>
      </c>
    </row>
    <row r="12" customFormat="false" ht="15" hidden="false" customHeight="true" outlineLevel="0" collapsed="false">
      <c r="A12" s="7" t="s">
        <v>467</v>
      </c>
      <c r="D12" s="48" t="n">
        <f aca="false">D10*D11</f>
        <v>257.7</v>
      </c>
      <c r="E12" s="48" t="n">
        <f aca="false">E10*E11</f>
        <v>442.5</v>
      </c>
      <c r="F12" s="48" t="n">
        <f aca="false">F10*F11</f>
        <v>637.7</v>
      </c>
      <c r="G12" s="48" t="n">
        <f aca="false">G10*G11</f>
        <v>939</v>
      </c>
      <c r="H12" s="48" t="n">
        <f aca="false">H10*H11</f>
        <v>1160.4</v>
      </c>
    </row>
    <row r="13" customFormat="false" ht="15" hidden="false" customHeight="true" outlineLevel="0" collapsed="false">
      <c r="A13" s="7" t="s">
        <v>236</v>
      </c>
      <c r="D13" s="49" t="n">
        <f aca="false">Supuestos!D$59</f>
        <v>0.0506</v>
      </c>
      <c r="E13" s="49" t="n">
        <f aca="false">Supuestos!E$59</f>
        <v>0.0506</v>
      </c>
      <c r="F13" s="49" t="n">
        <f aca="false">Supuestos!F$59</f>
        <v>0.0506</v>
      </c>
      <c r="G13" s="49" t="n">
        <f aca="false">Supuestos!G$59</f>
        <v>0.0506</v>
      </c>
      <c r="H13" s="49" t="n">
        <f aca="false">Supuestos!H$59</f>
        <v>0.0506</v>
      </c>
    </row>
    <row r="14" customFormat="false" ht="15" hidden="false" customHeight="true" outlineLevel="0" collapsed="false">
      <c r="A14" s="6" t="s">
        <v>468</v>
      </c>
      <c r="D14" s="22" t="n">
        <f aca="false">D12*D13*12</f>
        <v>156.47544</v>
      </c>
      <c r="E14" s="22" t="n">
        <f aca="false">E12*E13*12</f>
        <v>268.686</v>
      </c>
      <c r="F14" s="22" t="n">
        <f aca="false">F12*F13*12</f>
        <v>387.21144</v>
      </c>
      <c r="G14" s="22" t="n">
        <f aca="false">G12*G13*12</f>
        <v>570.1608</v>
      </c>
      <c r="H14" s="22" t="n">
        <f aca="false">H12*H13*12</f>
        <v>704.59488</v>
      </c>
    </row>
    <row r="15" customFormat="false" ht="15" hidden="false" customHeight="true" outlineLevel="0" collapsed="false">
      <c r="A15" s="7" t="s">
        <v>469</v>
      </c>
      <c r="D15" s="24" t="n">
        <f aca="false">IF(Supuestos!$C$28=1,Proyeccion!D13,1-Supuestos!D$37-Supuestos!D$39)</f>
        <v>0.246421587662187</v>
      </c>
      <c r="E15" s="24" t="n">
        <f aca="false">IF(Supuestos!$C$28=1,Proyeccion!E13,1-Supuestos!E$37-Supuestos!E$39)</f>
        <v>0.246421587662187</v>
      </c>
      <c r="F15" s="24" t="n">
        <f aca="false">IF(Supuestos!$C$28=1,Proyeccion!F13,1-Supuestos!F$37-Supuestos!F$39)</f>
        <v>0.246421587662187</v>
      </c>
      <c r="G15" s="24" t="n">
        <f aca="false">IF(Supuestos!$C$28=1,Proyeccion!G13,1-Supuestos!G$37-Supuestos!G$39)</f>
        <v>0.246421587662187</v>
      </c>
      <c r="H15" s="24" t="n">
        <f aca="false">IF(Supuestos!$C$28=1,Proyeccion!H13,1-Supuestos!H$37-Supuestos!H$39)</f>
        <v>0.246421587662187</v>
      </c>
    </row>
    <row r="16" customFormat="false" ht="15" hidden="false" customHeight="true" outlineLevel="0" collapsed="false">
      <c r="A16" s="7" t="s">
        <v>470</v>
      </c>
      <c r="D16" s="23" t="n">
        <f aca="false">D14*D15</f>
        <v>38.5589263549392</v>
      </c>
      <c r="E16" s="23" t="n">
        <f aca="false">E14*E15</f>
        <v>66.2100307026023</v>
      </c>
      <c r="F16" s="23" t="n">
        <f aca="false">F14*F15</f>
        <v>95.4172578057615</v>
      </c>
      <c r="G16" s="23" t="n">
        <f aca="false">G14*G15</f>
        <v>140.499929558742</v>
      </c>
      <c r="H16" s="23" t="n">
        <f aca="false">H14*H15</f>
        <v>173.627388988248</v>
      </c>
    </row>
    <row r="18" customFormat="false" ht="15" hidden="false" customHeight="true" outlineLevel="0" collapsed="false">
      <c r="A18" s="7" t="s">
        <v>471</v>
      </c>
      <c r="D18" s="23" t="n">
        <f aca="false">D8+D16</f>
        <v>38.5589263549392</v>
      </c>
      <c r="E18" s="23" t="n">
        <f aca="false">E8+E16</f>
        <v>79.5983326371623</v>
      </c>
      <c r="F18" s="23" t="n">
        <f aca="false">F8+F16</f>
        <v>121.237554393841</v>
      </c>
      <c r="G18" s="23" t="n">
        <f aca="false">G8+G16</f>
        <v>193.044233115485</v>
      </c>
      <c r="H18" s="23" t="n">
        <f aca="false">H8+H16</f>
        <v>249.603611698673</v>
      </c>
    </row>
    <row r="19" customFormat="false" ht="15" hidden="false" customHeight="true" outlineLevel="0" collapsed="false">
      <c r="A19" s="7" t="s">
        <v>472</v>
      </c>
      <c r="D19" s="23" t="n">
        <f aca="false">D18*(1-Supuestos!$C$6)</f>
        <v>23.1353558129635</v>
      </c>
      <c r="E19" s="23" t="n">
        <f aca="false">E18*(1-Supuestos!$C$6)</f>
        <v>47.7589995822974</v>
      </c>
      <c r="F19" s="23" t="n">
        <f aca="false">F18*(1-Supuestos!$C$6)</f>
        <v>72.7425326363049</v>
      </c>
      <c r="G19" s="23" t="n">
        <f aca="false">G18*(1-Supuestos!$C$6)</f>
        <v>115.826539869291</v>
      </c>
      <c r="H19" s="23" t="n">
        <f aca="false">H18*(1-Supuestos!$C$6)</f>
        <v>149.762167019204</v>
      </c>
    </row>
    <row r="20" customFormat="false" ht="15" hidden="false" customHeight="true" outlineLevel="0" collapsed="false">
      <c r="A20" s="6" t="s">
        <v>473</v>
      </c>
      <c r="D20" s="22" t="n">
        <f aca="false">D19*Supuestos!$C$30</f>
        <v>23.1353558129635</v>
      </c>
      <c r="E20" s="22" t="n">
        <f aca="false">E19*Supuestos!$C$30</f>
        <v>47.7589995822974</v>
      </c>
      <c r="F20" s="22" t="n">
        <f aca="false">F19*Supuestos!$C$30</f>
        <v>72.7425326363049</v>
      </c>
      <c r="G20" s="22" t="n">
        <f aca="false">G19*Supuestos!$C$30</f>
        <v>115.826539869291</v>
      </c>
      <c r="H20" s="22" t="n">
        <f aca="false">H19*Supuestos!$C$30</f>
        <v>149.762167019204</v>
      </c>
    </row>
    <row r="22" customFormat="false" ht="15" hidden="false" customHeight="true" outlineLevel="0" collapsed="false">
      <c r="A22" s="6" t="s">
        <v>474</v>
      </c>
    </row>
    <row r="23" customFormat="false" ht="15" hidden="false" customHeight="true" outlineLevel="0" collapsed="false">
      <c r="C23" s="6" t="s">
        <v>475</v>
      </c>
      <c r="D23" s="6" t="s">
        <v>297</v>
      </c>
      <c r="E23" s="6" t="s">
        <v>476</v>
      </c>
    </row>
    <row r="24" customFormat="false" ht="15" hidden="false" customHeight="true" outlineLevel="0" collapsed="false">
      <c r="A24" s="7" t="s">
        <v>477</v>
      </c>
      <c r="C24" s="23" t="n">
        <f aca="false">NPV(Costo_Capital!$C$10,D8:H8)*(1-Supuestos!$C$6)*Supuestos!$C$30</f>
        <v>72.7407213631031</v>
      </c>
      <c r="D24" s="23" t="n">
        <f aca="false">NPV(Costo_Capital!$C$10,D16:H16)*(1-Supuestos!$C$6)*Supuestos!$C$30</f>
        <v>232.008325389625</v>
      </c>
      <c r="E24" s="23" t="n">
        <f aca="false">C24+D24</f>
        <v>304.749046752728</v>
      </c>
    </row>
    <row r="25" customFormat="false" ht="15" hidden="false" customHeight="true" outlineLevel="0" collapsed="false">
      <c r="A25" s="7" t="s">
        <v>478</v>
      </c>
      <c r="C25" s="23" t="n">
        <f aca="false">H8*(1-Supuestos!$C$6)*Supuestos!$C$30*(1+Proyeccion!$H$34)/(Costo_Capital!$C$10-Proyeccion!$H$34)/(1+Costo_Capital!$C$10)^5</f>
        <v>578.413392172352</v>
      </c>
      <c r="D25" s="23" t="n">
        <f aca="false">H16*(1-Supuestos!$C$6)*Supuestos!$C$30*(1+Proyeccion!$H$34)/(Costo_Capital!$C$10-Proyeccion!$H$34)/(1+Costo_Capital!$C$10)^5</f>
        <v>1321.83995802861</v>
      </c>
      <c r="E25" s="23" t="n">
        <f aca="false">C25+D25</f>
        <v>1900.25335020096</v>
      </c>
    </row>
    <row r="26" customFormat="false" ht="15" hidden="false" customHeight="true" outlineLevel="0" collapsed="false">
      <c r="A26" s="6" t="s">
        <v>479</v>
      </c>
      <c r="C26" s="22" t="n">
        <f aca="false">C24+C25</f>
        <v>651.154113535456</v>
      </c>
      <c r="D26" s="22" t="n">
        <f aca="false">D24+D25</f>
        <v>1553.84828341823</v>
      </c>
      <c r="E26" s="22" t="n">
        <f aca="false">E24+E25</f>
        <v>2205.00239695369</v>
      </c>
    </row>
    <row r="27" customFormat="false" ht="15" hidden="false" customHeight="true" outlineLevel="0" collapsed="false">
      <c r="A27" s="7" t="s">
        <v>480</v>
      </c>
      <c r="E27" s="23" t="n">
        <f aca="false">E26-(NPV(Costo_Capital!$C$10,D20:H20)+H20*(1+Proyeccion!$H$34)/(Costo_Capital!$C$10-Proyeccion!$H$34)/(1+Costo_Capital!$C$10)^5)</f>
        <v>0</v>
      </c>
    </row>
    <row r="28" customFormat="false" ht="15" hidden="false" customHeight="true" outlineLevel="0" collapsed="false">
      <c r="A28" s="7" t="s">
        <v>481</v>
      </c>
      <c r="E28" s="23" t="n">
        <f aca="false">NPV(Costo_Capital!$C$10,D19:H19)+H19*(1+Proyeccion!$H$34)/(Costo_Capital!$C$10-Proyeccion!$H$34)/(1+Costo_Capital!$C$10)^5</f>
        <v>2205.00239695369</v>
      </c>
    </row>
    <row r="30" customFormat="false" ht="15" hidden="false" customHeight="true" outlineLevel="0" collapsed="false">
      <c r="A30" s="42" t="s">
        <v>482</v>
      </c>
    </row>
    <row r="31" customFormat="false" ht="15" hidden="false" customHeight="true" outlineLevel="0" collapsed="false">
      <c r="A31" s="42" t="s">
        <v>483</v>
      </c>
    </row>
    <row r="32" customFormat="false" ht="15" hidden="false" customHeight="true" outlineLevel="0" collapsed="false">
      <c r="A32" s="42" t="s">
        <v>484</v>
      </c>
    </row>
    <row r="33" customFormat="false" ht="15" hidden="false" customHeight="true" outlineLevel="0" collapsed="false">
      <c r="A33" s="42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4"/>
    <col collapsed="false" customWidth="true" hidden="false" outlineLevel="0" max="6" min="3" style="1" width="13"/>
    <col collapsed="false" customWidth="true" hidden="false" outlineLevel="0" max="7" min="7" style="1" width="4"/>
    <col collapsed="false" customWidth="true" hidden="false" outlineLevel="0" max="8" min="8" style="1" width="70"/>
  </cols>
  <sheetData>
    <row r="1" customFormat="false" ht="15.75" hidden="false" customHeight="true" outlineLevel="0" collapsed="false">
      <c r="A1" s="2" t="s">
        <v>486</v>
      </c>
    </row>
    <row r="3" customFormat="false" ht="15" hidden="false" customHeight="true" outlineLevel="0" collapsed="false">
      <c r="A3" s="4" t="s">
        <v>487</v>
      </c>
      <c r="B3" s="5"/>
      <c r="C3" s="5"/>
      <c r="D3" s="5"/>
      <c r="E3" s="5"/>
      <c r="F3" s="5"/>
      <c r="G3" s="5"/>
      <c r="H3" s="5"/>
      <c r="I3" s="5"/>
      <c r="J3" s="5"/>
    </row>
    <row r="5" customFormat="false" ht="15" hidden="false" customHeight="true" outlineLevel="0" collapsed="false">
      <c r="A5" s="7" t="s">
        <v>488</v>
      </c>
      <c r="C5" s="17" t="n">
        <f aca="false">Costo_Capital!$C$10</f>
        <v>0.0823374393250621</v>
      </c>
    </row>
    <row r="6" customFormat="false" ht="15" hidden="false" customHeight="true" outlineLevel="0" collapsed="false">
      <c r="A6" s="7" t="s">
        <v>489</v>
      </c>
      <c r="C6" s="17" t="n">
        <f aca="false">Costo_Capital!$C$16</f>
        <v>0.0761507755001716</v>
      </c>
    </row>
    <row r="7" customFormat="false" ht="15" hidden="false" customHeight="true" outlineLevel="0" collapsed="false">
      <c r="A7" s="7" t="s">
        <v>490</v>
      </c>
      <c r="C7" s="17" t="n">
        <f aca="false">Proyeccion!$H$34</f>
        <v>0.0278010646620126</v>
      </c>
    </row>
    <row r="8" customFormat="false" ht="15" hidden="false" customHeight="true" outlineLevel="0" collapsed="false">
      <c r="A8" s="7" t="s">
        <v>491</v>
      </c>
      <c r="C8" s="43" t="n">
        <f aca="false">Proyeccion!$H$38</f>
        <v>1258.41701747142</v>
      </c>
    </row>
    <row r="9" customFormat="false" ht="15" hidden="false" customHeight="true" outlineLevel="0" collapsed="false">
      <c r="A9" s="7" t="s">
        <v>492</v>
      </c>
      <c r="C9" s="43" t="n">
        <f aca="false">Proyeccion!$H$39</f>
        <v>4560.44376052538</v>
      </c>
    </row>
    <row r="10" customFormat="false" ht="15" hidden="false" customHeight="true" outlineLevel="0" collapsed="false">
      <c r="A10" s="7" t="s">
        <v>493</v>
      </c>
      <c r="C10" s="43" t="n">
        <f aca="false">Proyeccion!$H$40</f>
        <v>284.783121267308</v>
      </c>
    </row>
    <row r="11" customFormat="false" ht="15" hidden="false" customHeight="true" outlineLevel="0" collapsed="false">
      <c r="A11" s="6" t="s">
        <v>422</v>
      </c>
      <c r="C11" s="50" t="n">
        <f aca="false">Proyeccion!$H$41</f>
        <v>6103.6438992641</v>
      </c>
    </row>
    <row r="12" customFormat="false" ht="15" hidden="false" customHeight="true" outlineLevel="0" collapsed="false">
      <c r="A12" s="7" t="s">
        <v>494</v>
      </c>
      <c r="C12" s="24" t="n">
        <f aca="false">C9/C11</f>
        <v>0.747167402914056</v>
      </c>
    </row>
    <row r="14" customFormat="false" ht="15" hidden="false" customHeight="true" outlineLevel="0" collapsed="false">
      <c r="A14" s="4" t="s">
        <v>495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true" outlineLevel="0" collapsed="false">
      <c r="A15" s="7" t="s">
        <v>496</v>
      </c>
      <c r="C15" s="23" t="n">
        <f aca="false">Historicos!$E$35+Historicos!$E$36</f>
        <v>220.885</v>
      </c>
      <c r="H15" s="7" t="s">
        <v>497</v>
      </c>
    </row>
    <row r="16" customFormat="false" ht="15" hidden="false" customHeight="true" outlineLevel="0" collapsed="false">
      <c r="A16" s="7" t="s">
        <v>498</v>
      </c>
      <c r="C16" s="23" t="n">
        <f aca="false">Historicos!$E$15</f>
        <v>90.033</v>
      </c>
      <c r="H16" s="7" t="s">
        <v>499</v>
      </c>
    </row>
    <row r="17" customFormat="false" ht="15" hidden="false" customHeight="true" outlineLevel="0" collapsed="false">
      <c r="A17" s="7" t="s">
        <v>500</v>
      </c>
      <c r="C17" s="23" t="n">
        <f aca="false">IF(Supuestos!$C$27=1,C16*Supuestos!$C$15,Historicos!$E$47)</f>
        <v>1719.180135</v>
      </c>
      <c r="H17" s="7" t="s">
        <v>501</v>
      </c>
    </row>
    <row r="18" customFormat="false" ht="15" hidden="false" customHeight="true" outlineLevel="0" collapsed="false">
      <c r="A18" s="7" t="s">
        <v>155</v>
      </c>
      <c r="C18" s="23" t="n">
        <f aca="false">Historicos!$E$48</f>
        <v>4.422</v>
      </c>
      <c r="H18" s="7" t="s">
        <v>502</v>
      </c>
    </row>
    <row r="19" customFormat="false" ht="15" hidden="false" customHeight="true" outlineLevel="0" collapsed="false">
      <c r="A19" s="7" t="s">
        <v>153</v>
      </c>
      <c r="C19" s="23" t="n">
        <f aca="false">Historicos!$E$46</f>
        <v>0</v>
      </c>
      <c r="H19" s="7" t="s">
        <v>503</v>
      </c>
    </row>
    <row r="20" customFormat="false" ht="15" hidden="false" customHeight="true" outlineLevel="0" collapsed="false">
      <c r="A20" s="6" t="s">
        <v>504</v>
      </c>
      <c r="C20" s="22" t="n">
        <f aca="false">C15+C17+C18+C19</f>
        <v>1944.487135</v>
      </c>
      <c r="H20" s="7"/>
    </row>
    <row r="22" customFormat="false" ht="15" hidden="false" customHeight="true" outlineLevel="0" collapsed="false">
      <c r="A22" s="7" t="s">
        <v>505</v>
      </c>
      <c r="C22" s="23" t="n">
        <f aca="false">Historicos!$E$62+Historicos!$E$57</f>
        <v>1002.293</v>
      </c>
      <c r="H22" s="7" t="s">
        <v>506</v>
      </c>
    </row>
    <row r="23" customFormat="false" ht="15" hidden="false" customHeight="true" outlineLevel="0" collapsed="false">
      <c r="A23" s="7" t="s">
        <v>507</v>
      </c>
      <c r="C23" s="23" t="n">
        <f aca="false">Historicos!$E$21</f>
        <v>15.056</v>
      </c>
      <c r="H23" s="7" t="s">
        <v>499</v>
      </c>
    </row>
    <row r="24" customFormat="false" ht="15" hidden="false" customHeight="true" outlineLevel="0" collapsed="false">
      <c r="A24" s="7" t="s">
        <v>508</v>
      </c>
      <c r="C24" s="23" t="n">
        <f aca="false">IF(Supuestos!$C$27=1,C23*Supuestos!$C$15,Historicos!$E$68)</f>
        <v>287.49432</v>
      </c>
      <c r="H24" s="7" t="s">
        <v>509</v>
      </c>
    </row>
    <row r="26" customFormat="false" ht="15" hidden="false" customHeight="true" outlineLevel="0" collapsed="false">
      <c r="A26" s="6" t="s">
        <v>510</v>
      </c>
      <c r="C26" s="22" t="n">
        <f aca="false">C22+C24</f>
        <v>1289.78732</v>
      </c>
      <c r="H26" s="7"/>
    </row>
    <row r="28" customFormat="false" ht="15" hidden="false" customHeight="true" outlineLevel="0" collapsed="false">
      <c r="A28" s="4" t="s">
        <v>511</v>
      </c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true" outlineLevel="0" collapsed="false">
      <c r="A29" s="7" t="s">
        <v>422</v>
      </c>
      <c r="C29" s="23" t="n">
        <f aca="false">C11</f>
        <v>6103.6438992641</v>
      </c>
    </row>
    <row r="30" customFormat="false" ht="15" hidden="false" customHeight="true" outlineLevel="0" collapsed="false">
      <c r="A30" s="7" t="s">
        <v>423</v>
      </c>
      <c r="C30" s="23" t="n">
        <f aca="false">C20</f>
        <v>1944.487135</v>
      </c>
    </row>
    <row r="31" customFormat="false" ht="15" hidden="false" customHeight="true" outlineLevel="0" collapsed="false">
      <c r="A31" s="7" t="s">
        <v>512</v>
      </c>
      <c r="C31" s="23" t="n">
        <f aca="false">C29+C30</f>
        <v>8048.1310342641</v>
      </c>
    </row>
    <row r="32" customFormat="false" ht="15" hidden="false" customHeight="true" outlineLevel="0" collapsed="false">
      <c r="A32" s="7" t="s">
        <v>424</v>
      </c>
      <c r="C32" s="23" t="n">
        <f aca="false">C26</f>
        <v>1289.78732</v>
      </c>
    </row>
    <row r="33" customFormat="false" ht="15" hidden="false" customHeight="true" outlineLevel="0" collapsed="false">
      <c r="A33" s="6" t="s">
        <v>513</v>
      </c>
      <c r="C33" s="22" t="n">
        <f aca="false">C31-C32</f>
        <v>6758.3437142641</v>
      </c>
    </row>
    <row r="34" customFormat="false" ht="15" hidden="false" customHeight="true" outlineLevel="0" collapsed="false">
      <c r="A34" s="7" t="s">
        <v>514</v>
      </c>
      <c r="C34" s="24" t="n">
        <f aca="false">Supuestos!$C$29</f>
        <v>0</v>
      </c>
    </row>
    <row r="35" customFormat="false" ht="15" hidden="false" customHeight="true" outlineLevel="0" collapsed="false">
      <c r="A35" s="7" t="s">
        <v>515</v>
      </c>
      <c r="C35" s="23" t="n">
        <f aca="false">C33*(1-C34)</f>
        <v>6758.3437142641</v>
      </c>
    </row>
    <row r="36" customFormat="false" ht="15" hidden="false" customHeight="true" outlineLevel="0" collapsed="false">
      <c r="A36" s="7" t="s">
        <v>516</v>
      </c>
      <c r="C36" s="23" t="n">
        <f aca="false">Sinergias!$C$26</f>
        <v>651.154113535456</v>
      </c>
    </row>
    <row r="37" customFormat="false" ht="15" hidden="false" customHeight="true" outlineLevel="0" collapsed="false">
      <c r="A37" s="7" t="s">
        <v>517</v>
      </c>
      <c r="C37" s="23" t="n">
        <f aca="false">Sinergias!$D$26</f>
        <v>1553.84828341823</v>
      </c>
    </row>
    <row r="38" customFormat="false" ht="15" hidden="false" customHeight="true" outlineLevel="0" collapsed="false">
      <c r="A38" s="6" t="s">
        <v>518</v>
      </c>
      <c r="C38" s="22" t="n">
        <f aca="false">C35+C36+C37</f>
        <v>8963.34611121779</v>
      </c>
    </row>
    <row r="39" customFormat="false" ht="15" hidden="false" customHeight="true" outlineLevel="0" collapsed="false">
      <c r="A39" s="7" t="s">
        <v>519</v>
      </c>
      <c r="C39" s="23" t="n">
        <f aca="false">Proyeccion!$H$44-C33</f>
        <v>0</v>
      </c>
    </row>
    <row r="41" customFormat="false" ht="15" hidden="false" customHeight="true" outlineLevel="0" collapsed="false">
      <c r="A41" s="4" t="s">
        <v>520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true" outlineLevel="0" collapsed="false">
      <c r="A42" s="7" t="s">
        <v>521</v>
      </c>
      <c r="C42" s="23" t="n">
        <f aca="false">Proyeccion!$H$37</f>
        <v>17331.9489442867</v>
      </c>
    </row>
    <row r="43" customFormat="false" ht="15" hidden="false" customHeight="true" outlineLevel="0" collapsed="false">
      <c r="A43" s="7" t="s">
        <v>522</v>
      </c>
      <c r="C43" s="36" t="n">
        <f aca="false">IF(Supuestos!$C$26=1,Comparables!$P$11,Comparables!$P$13)</f>
        <v>10.3334329393267</v>
      </c>
    </row>
    <row r="44" customFormat="false" ht="15" hidden="false" customHeight="true" outlineLevel="0" collapsed="false">
      <c r="A44" s="7" t="s">
        <v>523</v>
      </c>
      <c r="C44" s="36" t="n">
        <f aca="false">Proyeccion!$H$36/Proyeccion!H12</f>
        <v>4.03847813642202</v>
      </c>
    </row>
    <row r="45" customFormat="false" ht="15" hidden="false" customHeight="true" outlineLevel="0" collapsed="false">
      <c r="A45" s="7" t="s">
        <v>524</v>
      </c>
      <c r="C45" s="23" t="n">
        <f aca="false">C8+C10+C42/(1+C5)^5</f>
        <v>13212.2096470361</v>
      </c>
    </row>
    <row r="46" customFormat="false" ht="15" hidden="false" customHeight="true" outlineLevel="0" collapsed="false">
      <c r="A46" s="7" t="s">
        <v>525</v>
      </c>
      <c r="C46" s="23" t="n">
        <f aca="false">C45+C30-C32</f>
        <v>13866.9094620361</v>
      </c>
    </row>
    <row r="47" customFormat="false" ht="15" hidden="false" customHeight="true" outlineLevel="0" collapsed="false">
      <c r="A47" s="7" t="s">
        <v>526</v>
      </c>
      <c r="C47" s="10" t="n">
        <f aca="false">(-F47-SQRT(F47^2-4*E47*D47))/(2*E47)</f>
        <v>0.066469351015741</v>
      </c>
      <c r="D47" s="32" t="n">
        <f aca="false">C42*C6-Proyeccion!$H$17</f>
        <v>885.22605560332</v>
      </c>
      <c r="E47" s="32" t="n">
        <f aca="false">Proyeccion!$H$17/Proyeccion!$H$30</f>
        <v>4171.48061880754</v>
      </c>
      <c r="F47" s="32" t="n">
        <f aca="false">-(C42+Proyeccion!$H$17-Proyeccion!$H$17/Proyeccion!$H$30)</f>
        <v>-13595.0836229127</v>
      </c>
      <c r="H47" s="7" t="s">
        <v>527</v>
      </c>
    </row>
    <row r="48" customFormat="false" ht="15" hidden="false" customHeight="true" outlineLevel="0" collapsed="false">
      <c r="A48" s="7" t="s">
        <v>528</v>
      </c>
      <c r="C48" s="23" t="n">
        <f aca="false">NPV(C6,Proyeccion!D28:H28)+Proyeccion!H36/(1+C6)^5</f>
        <v>5972.35489330632</v>
      </c>
    </row>
    <row r="49" customFormat="false" ht="15" hidden="false" customHeight="true" outlineLevel="0" collapsed="false">
      <c r="A49" s="7" t="s">
        <v>529</v>
      </c>
      <c r="C49" s="23" t="n">
        <f aca="false">C48+C30-C32</f>
        <v>6627.05470830632</v>
      </c>
    </row>
    <row r="50" customFormat="false" ht="15" hidden="false" customHeight="true" outlineLevel="0" collapsed="false">
      <c r="A50" s="7" t="s">
        <v>530</v>
      </c>
      <c r="C50" s="23" t="n">
        <f aca="false">C33-C49</f>
        <v>131.289005957784</v>
      </c>
    </row>
    <row r="51" customFormat="false" ht="15" hidden="false" customHeight="true" outlineLevel="0" collapsed="false">
      <c r="A51" s="7" t="s">
        <v>531</v>
      </c>
      <c r="C51" s="36" t="n">
        <f aca="false">C11/Historicos!$E$11</f>
        <v>5.90679979606039</v>
      </c>
    </row>
    <row r="52" customFormat="false" ht="15" hidden="false" customHeight="true" outlineLevel="0" collapsed="false">
      <c r="A52" s="7" t="s">
        <v>532</v>
      </c>
      <c r="C52" s="36" t="n">
        <f aca="false">C11/Proyeccion!D12</f>
        <v>5.49313470254374</v>
      </c>
    </row>
    <row r="53" customFormat="false" ht="15" hidden="false" customHeight="true" outlineLevel="0" collapsed="false">
      <c r="A53" s="7" t="s">
        <v>533</v>
      </c>
      <c r="C53" s="23" t="n">
        <f aca="false">Historicos!$E$11*Comparables!$P$13+C30-C32</f>
        <v>11332.4944070298</v>
      </c>
    </row>
    <row r="54" customFormat="false" ht="15" hidden="false" customHeight="true" outlineLevel="0" collapsed="false">
      <c r="A54" s="7" t="s">
        <v>534</v>
      </c>
      <c r="C54" s="23" t="n">
        <f aca="false">Historicos!$E$22*Supuestos!$C$15</f>
        <v>6009.84573000001</v>
      </c>
    </row>
    <row r="55" customFormat="false" ht="15" hidden="false" customHeight="true" outlineLevel="0" collapsed="false">
      <c r="A55" s="7" t="s">
        <v>535</v>
      </c>
      <c r="C55" s="24" t="n">
        <f aca="false">Deuda!$C$5/C11</f>
        <v>0.615623309052891</v>
      </c>
    </row>
    <row r="56" customFormat="false" ht="15" hidden="false" customHeight="true" outlineLevel="0" collapsed="false">
      <c r="A56" s="7" t="s">
        <v>536</v>
      </c>
      <c r="C56" s="24" t="n">
        <f aca="false">Deuda!$C$5/C31</f>
        <v>0.466884229213974</v>
      </c>
    </row>
    <row r="57" customFormat="false" ht="15" hidden="false" customHeight="true" outlineLevel="0" collapsed="false">
      <c r="A57" s="4" t="s">
        <v>537</v>
      </c>
      <c r="B57" s="5"/>
      <c r="C57" s="5"/>
      <c r="D57" s="5"/>
      <c r="E57" s="5"/>
      <c r="F57" s="5"/>
      <c r="G57" s="5"/>
      <c r="H57" s="5"/>
      <c r="I57" s="5"/>
      <c r="J57" s="5"/>
    </row>
    <row r="58" customFormat="false" ht="15" hidden="false" customHeight="true" outlineLevel="0" collapsed="false">
      <c r="A58" s="7" t="s">
        <v>538</v>
      </c>
      <c r="C58" s="23" t="n">
        <f aca="false">C33*(1-Supuestos!$C$16)</f>
        <v>6082.50934283769</v>
      </c>
      <c r="H58" s="7" t="s">
        <v>539</v>
      </c>
    </row>
    <row r="59" customFormat="false" ht="15" hidden="false" customHeight="true" outlineLevel="0" collapsed="false">
      <c r="A59" s="7" t="s">
        <v>540</v>
      </c>
      <c r="C59" s="23" t="n">
        <f aca="false">C33+Supuestos!$C$31*C36</f>
        <v>7083.92077103183</v>
      </c>
      <c r="H59" s="7" t="s">
        <v>541</v>
      </c>
    </row>
    <row r="60" customFormat="false" ht="15" hidden="false" customHeight="true" outlineLevel="0" collapsed="false">
      <c r="A60" s="6" t="s">
        <v>542</v>
      </c>
      <c r="C60" s="22" t="n">
        <f aca="false">C33+C36</f>
        <v>7409.49782779956</v>
      </c>
      <c r="H60" s="7" t="s">
        <v>543</v>
      </c>
    </row>
    <row r="61" customFormat="false" ht="15" hidden="false" customHeight="true" outlineLevel="0" collapsed="false">
      <c r="A61" s="7" t="s">
        <v>544</v>
      </c>
      <c r="C61" s="23" t="n">
        <f aca="false">C33+C36+C37</f>
        <v>8963.34611121779</v>
      </c>
    </row>
    <row r="63" customFormat="false" ht="15" hidden="false" customHeight="true" outlineLevel="0" collapsed="false">
      <c r="A63" s="7" t="s">
        <v>545</v>
      </c>
      <c r="C63" s="23" t="n">
        <f aca="false">C5*C11</f>
        <v>502.558409217443</v>
      </c>
    </row>
    <row r="64" customFormat="false" ht="15" hidden="false" customHeight="true" outlineLevel="0" collapsed="false">
      <c r="A64" s="7" t="s">
        <v>546</v>
      </c>
      <c r="C64" s="24" t="n">
        <f aca="false">C17/C33</f>
        <v>0.254378914077944</v>
      </c>
    </row>
    <row r="65" customFormat="false" ht="15" hidden="false" customHeight="true" outlineLevel="0" collapsed="false">
      <c r="A65" s="7" t="s">
        <v>547</v>
      </c>
      <c r="C65" s="24" t="n">
        <f aca="false">C37/(C36+C37)</f>
        <v>0.70469233301739</v>
      </c>
    </row>
    <row r="66" customFormat="false" ht="15" hidden="false" customHeight="true" outlineLevel="0" collapsed="false">
      <c r="A66" s="7" t="s">
        <v>548</v>
      </c>
      <c r="C66" s="24" t="n">
        <f aca="false">C60/C33-1</f>
        <v>0.0963481795341565</v>
      </c>
    </row>
    <row r="67" customFormat="false" ht="15" hidden="false" customHeight="true" outlineLevel="0" collapsed="false">
      <c r="A67" s="7" t="s">
        <v>549</v>
      </c>
      <c r="C67" s="36" t="n">
        <f aca="false">(C60+C32-C30)/Historicos!$E$11</f>
        <v>6.53695402008038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4"/>
    <col collapsed="false" customWidth="true" hidden="false" outlineLevel="0" max="9" min="3" style="1" width="12"/>
    <col collapsed="false" customWidth="true" hidden="false" outlineLevel="0" max="10" min="10" style="1" width="30"/>
  </cols>
  <sheetData>
    <row r="1" customFormat="false" ht="15.75" hidden="false" customHeight="true" outlineLevel="0" collapsed="false">
      <c r="A1" s="2" t="s">
        <v>550</v>
      </c>
    </row>
    <row r="3" customFormat="false" ht="15" hidden="false" customHeight="true" outlineLevel="0" collapsed="false">
      <c r="A3" s="4" t="s">
        <v>551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true" outlineLevel="0" collapsed="false">
      <c r="A4" s="6" t="s">
        <v>57</v>
      </c>
      <c r="C4" s="6" t="s">
        <v>400</v>
      </c>
      <c r="D4" s="6" t="s">
        <v>58</v>
      </c>
      <c r="E4" s="6" t="s">
        <v>59</v>
      </c>
      <c r="F4" s="6" t="s">
        <v>60</v>
      </c>
      <c r="G4" s="6" t="s">
        <v>61</v>
      </c>
      <c r="H4" s="6" t="s">
        <v>62</v>
      </c>
      <c r="I4" s="6" t="s">
        <v>401</v>
      </c>
    </row>
    <row r="5" customFormat="false" ht="15" hidden="false" customHeight="true" outlineLevel="0" collapsed="false">
      <c r="A5" s="7" t="s">
        <v>115</v>
      </c>
      <c r="C5" s="43" t="n">
        <f aca="false">Historicos!$E$5</f>
        <v>3679.237</v>
      </c>
      <c r="D5" s="23" t="n">
        <f aca="false">C5*(1+D6)</f>
        <v>4194.33018</v>
      </c>
      <c r="E5" s="23" t="n">
        <f aca="false">D5*(1+E6)</f>
        <v>4781.5364052</v>
      </c>
      <c r="F5" s="23" t="n">
        <f aca="false">E5*(1+F6)</f>
        <v>5379.22845585</v>
      </c>
      <c r="G5" s="23" t="n">
        <f aca="false">F5*(1+G6)</f>
        <v>5917.151301435</v>
      </c>
      <c r="H5" s="23" t="n">
        <f aca="false">G5*(1+H6)</f>
        <v>6331.35189253545</v>
      </c>
    </row>
    <row r="6" customFormat="false" ht="15" hidden="false" customHeight="true" outlineLevel="0" collapsed="false">
      <c r="A6" s="7" t="s">
        <v>63</v>
      </c>
      <c r="C6" s="25" t="n">
        <f aca="false">Historicos!$E$103</f>
        <v>0.144607252963997</v>
      </c>
      <c r="D6" s="24" t="n">
        <f aca="false">Supuestos!D$36+Supuestos!$C$63</f>
        <v>0.14</v>
      </c>
      <c r="E6" s="24" t="n">
        <f aca="false">Supuestos!E$36+Supuestos!$C$63</f>
        <v>0.14</v>
      </c>
      <c r="F6" s="24" t="n">
        <f aca="false">Supuestos!F$36+Supuestos!$C$63</f>
        <v>0.125</v>
      </c>
      <c r="G6" s="24" t="n">
        <f aca="false">Supuestos!G$36+Supuestos!$C$63</f>
        <v>0.1</v>
      </c>
      <c r="H6" s="24" t="n">
        <f aca="false">Supuestos!H$36+Supuestos!$C$63</f>
        <v>0.07</v>
      </c>
    </row>
    <row r="7" customFormat="false" ht="15" hidden="false" customHeight="true" outlineLevel="0" collapsed="false">
      <c r="A7" s="7" t="s">
        <v>116</v>
      </c>
      <c r="C7" s="43" t="n">
        <f aca="false">Historicos!$E$6</f>
        <v>267.027</v>
      </c>
      <c r="D7" s="23" t="n">
        <f aca="false">D5*Supuestos!$C$45</f>
        <v>314.773150238733</v>
      </c>
      <c r="E7" s="23" t="n">
        <f aca="false">E5*Supuestos!$C$45</f>
        <v>358.841391272155</v>
      </c>
      <c r="F7" s="23" t="n">
        <f aca="false">F5*Supuestos!$C$45</f>
        <v>403.696565181175</v>
      </c>
      <c r="G7" s="23" t="n">
        <f aca="false">G5*Supuestos!$C$45</f>
        <v>444.066221699292</v>
      </c>
      <c r="H7" s="23" t="n">
        <f aca="false">H5*Supuestos!$C$45</f>
        <v>475.150857218243</v>
      </c>
    </row>
    <row r="8" customFormat="false" ht="15" hidden="false" customHeight="true" outlineLevel="0" collapsed="false">
      <c r="A8" s="6" t="s">
        <v>117</v>
      </c>
      <c r="C8" s="43" t="n">
        <f aca="false">Historicos!$E$7</f>
        <v>3946.264</v>
      </c>
      <c r="D8" s="22" t="n">
        <f aca="false">D5+D7</f>
        <v>4509.10333023873</v>
      </c>
      <c r="E8" s="22" t="n">
        <f aca="false">E5+E7</f>
        <v>5140.37779647216</v>
      </c>
      <c r="F8" s="22" t="n">
        <f aca="false">F5+F7</f>
        <v>5782.92502103118</v>
      </c>
      <c r="G8" s="22" t="n">
        <f aca="false">G5+G7</f>
        <v>6361.21752313429</v>
      </c>
      <c r="H8" s="22" t="n">
        <f aca="false">H5+H7</f>
        <v>6806.5027497537</v>
      </c>
    </row>
    <row r="9" customFormat="false" ht="15" hidden="false" customHeight="true" outlineLevel="0" collapsed="false">
      <c r="A9" s="7" t="s">
        <v>118</v>
      </c>
      <c r="C9" s="43" t="n">
        <f aca="false">Historicos!$E$8</f>
        <v>717.075</v>
      </c>
      <c r="D9" s="23" t="n">
        <f aca="false">D5*Supuestos!D$37</f>
        <v>838.866036</v>
      </c>
      <c r="E9" s="23" t="n">
        <f aca="false">E5*Supuestos!E$37</f>
        <v>956.30728104</v>
      </c>
      <c r="F9" s="23" t="n">
        <f aca="false">F5*Supuestos!F$37</f>
        <v>1075.84569117</v>
      </c>
      <c r="G9" s="23" t="n">
        <f aca="false">G5*Supuestos!G$37</f>
        <v>1183.430260287</v>
      </c>
      <c r="H9" s="23" t="n">
        <f aca="false">H5*Supuestos!H$37</f>
        <v>1266.27037850709</v>
      </c>
    </row>
    <row r="10" customFormat="false" ht="15" hidden="false" customHeight="true" outlineLevel="0" collapsed="false">
      <c r="A10" s="7" t="s">
        <v>119</v>
      </c>
      <c r="C10" s="43" t="n">
        <f aca="false">Historicos!$E$9</f>
        <v>640.225</v>
      </c>
      <c r="D10" s="23" t="n">
        <f aca="false">D7*Supuestos!D$38</f>
        <v>755.455560572958</v>
      </c>
      <c r="E10" s="23" t="n">
        <f aca="false">E7*Supuestos!E$38</f>
        <v>861.219339053173</v>
      </c>
      <c r="F10" s="23" t="n">
        <f aca="false">F7*Supuestos!F$38</f>
        <v>968.871756434819</v>
      </c>
      <c r="G10" s="23" t="n">
        <f aca="false">G7*Supuestos!G$38</f>
        <v>1065.7589320783</v>
      </c>
      <c r="H10" s="23" t="n">
        <f aca="false">H7*Supuestos!H$38</f>
        <v>1140.36205732378</v>
      </c>
    </row>
    <row r="11" customFormat="false" ht="15" hidden="false" customHeight="true" outlineLevel="0" collapsed="false">
      <c r="A11" s="7" t="s">
        <v>402</v>
      </c>
      <c r="C11" s="43" t="n">
        <f aca="false">Historicos!$E$10</f>
        <v>1555.639</v>
      </c>
      <c r="D11" s="23" t="n">
        <f aca="false">D8*(Supuestos!D$39+Supuestos!$C$64)</f>
        <v>1803.64133209549</v>
      </c>
      <c r="E11" s="23" t="n">
        <f aca="false">E8*(Supuestos!E$39+Supuestos!$C$64)</f>
        <v>2056.15111858886</v>
      </c>
      <c r="F11" s="23" t="n">
        <f aca="false">F8*(Supuestos!F$39+Supuestos!$C$64)</f>
        <v>2313.17000841247</v>
      </c>
      <c r="G11" s="23" t="n">
        <f aca="false">G8*(Supuestos!G$39+Supuestos!$C$64)</f>
        <v>2544.48700925372</v>
      </c>
      <c r="H11" s="23" t="n">
        <f aca="false">H8*(Supuestos!H$39+Supuestos!$C$64)</f>
        <v>2722.60109990148</v>
      </c>
    </row>
    <row r="12" customFormat="false" ht="15" hidden="false" customHeight="true" outlineLevel="0" collapsed="false">
      <c r="A12" s="6" t="s">
        <v>121</v>
      </c>
      <c r="C12" s="43" t="n">
        <f aca="false">Historicos!$E$11</f>
        <v>1033.325</v>
      </c>
      <c r="D12" s="22" t="n">
        <f aca="false">D8-D9-D10-D11</f>
        <v>1111.14040157028</v>
      </c>
      <c r="E12" s="22" t="n">
        <f aca="false">E8-E9-E10-E11</f>
        <v>1266.70005779012</v>
      </c>
      <c r="F12" s="22" t="n">
        <f aca="false">F8-F9-F10-F11</f>
        <v>1425.03756501389</v>
      </c>
      <c r="G12" s="22" t="n">
        <f aca="false">G8-G9-G10-G11</f>
        <v>1567.54132151528</v>
      </c>
      <c r="H12" s="22" t="n">
        <f aca="false">H8-H9-H10-H11</f>
        <v>1677.26921402134</v>
      </c>
    </row>
    <row r="13" customFormat="false" ht="15" hidden="false" customHeight="true" outlineLevel="0" collapsed="false">
      <c r="A13" s="7" t="s">
        <v>208</v>
      </c>
      <c r="C13" s="24" t="n">
        <f aca="false">C12/C8</f>
        <v>0.261848928505544</v>
      </c>
      <c r="D13" s="24" t="n">
        <f aca="false">D12/D8</f>
        <v>0.246421587662187</v>
      </c>
      <c r="E13" s="24" t="n">
        <f aca="false">E12/E8</f>
        <v>0.246421587662187</v>
      </c>
      <c r="F13" s="24" t="n">
        <f aca="false">F12/F8</f>
        <v>0.246421587662187</v>
      </c>
      <c r="G13" s="24" t="n">
        <f aca="false">G12/G8</f>
        <v>0.246421587662187</v>
      </c>
      <c r="H13" s="24" t="n">
        <f aca="false">H12/H8</f>
        <v>0.246421587662187</v>
      </c>
    </row>
    <row r="14" customFormat="false" ht="15" hidden="false" customHeight="true" outlineLevel="0" collapsed="false">
      <c r="A14" s="7" t="s">
        <v>69</v>
      </c>
      <c r="C14" s="43" t="n">
        <f aca="false">Historicos!$E$12</f>
        <v>582.269</v>
      </c>
      <c r="D14" s="23" t="n">
        <f aca="false">D8*Supuestos!D$42</f>
        <v>705.229319748866</v>
      </c>
      <c r="E14" s="23" t="n">
        <f aca="false">E8*Supuestos!E$42</f>
        <v>803.961424513707</v>
      </c>
      <c r="F14" s="23" t="n">
        <f aca="false">F8*Supuestos!F$42</f>
        <v>867.438753154676</v>
      </c>
      <c r="G14" s="23" t="n">
        <f aca="false">G8*Supuestos!G$42</f>
        <v>922.376540854473</v>
      </c>
      <c r="H14" s="23" t="n">
        <f aca="false">H8*Supuestos!H$42</f>
        <v>952.910384965518</v>
      </c>
    </row>
    <row r="15" customFormat="false" ht="15" hidden="false" customHeight="true" outlineLevel="0" collapsed="false">
      <c r="A15" s="7" t="s">
        <v>298</v>
      </c>
      <c r="C15" s="43" t="n">
        <f aca="false">Historicos!$E$13</f>
        <v>451.056000000001</v>
      </c>
      <c r="D15" s="23" t="n">
        <f aca="false">D12-D14</f>
        <v>405.911081821415</v>
      </c>
      <c r="E15" s="23" t="n">
        <f aca="false">E12-E14</f>
        <v>462.738633276415</v>
      </c>
      <c r="F15" s="23" t="n">
        <f aca="false">F12-F14</f>
        <v>557.59881185921</v>
      </c>
      <c r="G15" s="23" t="n">
        <f aca="false">G12-G14</f>
        <v>645.164780660802</v>
      </c>
      <c r="H15" s="23" t="n">
        <f aca="false">H12-H14</f>
        <v>724.358829055826</v>
      </c>
    </row>
    <row r="16" customFormat="false" ht="15" hidden="false" customHeight="true" outlineLevel="0" collapsed="false">
      <c r="A16" s="7" t="s">
        <v>403</v>
      </c>
      <c r="D16" s="23" t="n">
        <f aca="false">D15*Supuestos!$C$6</f>
        <v>162.364432728566</v>
      </c>
      <c r="E16" s="23" t="n">
        <f aca="false">E15*Supuestos!$C$6</f>
        <v>185.095453310566</v>
      </c>
      <c r="F16" s="23" t="n">
        <f aca="false">F15*Supuestos!$C$6</f>
        <v>223.039524743684</v>
      </c>
      <c r="G16" s="23" t="n">
        <f aca="false">G15*Supuestos!$C$6</f>
        <v>258.065912264321</v>
      </c>
      <c r="H16" s="23" t="n">
        <f aca="false">H15*Supuestos!$C$6</f>
        <v>289.743531622331</v>
      </c>
    </row>
    <row r="17" customFormat="false" ht="15" hidden="false" customHeight="true" outlineLevel="0" collapsed="false">
      <c r="A17" s="6" t="s">
        <v>404</v>
      </c>
      <c r="D17" s="22" t="n">
        <f aca="false">D15-D16</f>
        <v>243.546649092849</v>
      </c>
      <c r="E17" s="22" t="n">
        <f aca="false">E15-E16</f>
        <v>277.643179965849</v>
      </c>
      <c r="F17" s="22" t="n">
        <f aca="false">F15-F16</f>
        <v>334.559287115526</v>
      </c>
      <c r="G17" s="22" t="n">
        <f aca="false">G15-G16</f>
        <v>387.098868396481</v>
      </c>
      <c r="H17" s="22" t="n">
        <f aca="false">H15-H16</f>
        <v>434.615297433496</v>
      </c>
      <c r="I17" s="23" t="n">
        <f aca="false">H17*(1+H34)</f>
        <v>446.698065420544</v>
      </c>
    </row>
    <row r="18" customFormat="false" ht="15" hidden="false" customHeight="true" outlineLevel="0" collapsed="false">
      <c r="A18" s="7" t="s">
        <v>405</v>
      </c>
      <c r="C18" s="23" t="n">
        <f aca="false">C9+C10+C11</f>
        <v>2912.939</v>
      </c>
      <c r="D18" s="23" t="n">
        <f aca="false">D9+D10+D11</f>
        <v>3397.96292866845</v>
      </c>
      <c r="E18" s="23" t="n">
        <f aca="false">E9+E10+E11</f>
        <v>3873.67773868204</v>
      </c>
      <c r="F18" s="23" t="n">
        <f aca="false">F9+F10+F11</f>
        <v>4357.88745601729</v>
      </c>
      <c r="G18" s="23" t="n">
        <f aca="false">G9+G10+G11</f>
        <v>4793.67620161902</v>
      </c>
      <c r="H18" s="23" t="n">
        <f aca="false">H9+H10+H11</f>
        <v>5129.23353573235</v>
      </c>
    </row>
    <row r="19" customFormat="false" ht="15" hidden="false" customHeight="true" outlineLevel="0" collapsed="false">
      <c r="A19" s="7" t="s">
        <v>144</v>
      </c>
      <c r="C19" s="43" t="n">
        <f aca="false">Historicos!$E$37</f>
        <v>435.497</v>
      </c>
      <c r="D19" s="23" t="n">
        <f aca="false">D8*Supuestos!$C$46/360</f>
        <v>521.895126277519</v>
      </c>
      <c r="E19" s="23" t="n">
        <f aca="false">E8*Supuestos!$C$46/360</f>
        <v>594.960443956372</v>
      </c>
      <c r="F19" s="23" t="n">
        <f aca="false">F8*Supuestos!$C$46/360</f>
        <v>669.330499450918</v>
      </c>
      <c r="G19" s="23" t="n">
        <f aca="false">G8*Supuestos!$C$46/360</f>
        <v>736.26354939601</v>
      </c>
      <c r="H19" s="23" t="n">
        <f aca="false">H8*Supuestos!$C$46/360</f>
        <v>787.801997853731</v>
      </c>
    </row>
    <row r="20" customFormat="false" ht="15" hidden="false" customHeight="true" outlineLevel="0" collapsed="false">
      <c r="A20" s="7" t="s">
        <v>145</v>
      </c>
      <c r="C20" s="43" t="n">
        <f aca="false">Historicos!$E$38</f>
        <v>100.99</v>
      </c>
      <c r="D20" s="23" t="n">
        <f aca="false">D7*Supuestos!$C$47/360</f>
        <v>134.967917493034</v>
      </c>
      <c r="E20" s="23" t="n">
        <f aca="false">E7*Supuestos!$C$47/360</f>
        <v>153.863425942058</v>
      </c>
      <c r="F20" s="23" t="n">
        <f aca="false">F7*Supuestos!$C$47/360</f>
        <v>173.096354184816</v>
      </c>
      <c r="G20" s="23" t="n">
        <f aca="false">G7*Supuestos!$C$47/360</f>
        <v>190.405989603297</v>
      </c>
      <c r="H20" s="23" t="n">
        <f aca="false">H7*Supuestos!$C$47/360</f>
        <v>203.734408875528</v>
      </c>
    </row>
    <row r="21" customFormat="false" ht="15" hidden="false" customHeight="true" outlineLevel="0" collapsed="false">
      <c r="A21" s="7" t="s">
        <v>146</v>
      </c>
      <c r="C21" s="43" t="n">
        <f aca="false">Historicos!$E$39</f>
        <v>41.588</v>
      </c>
      <c r="D21" s="23" t="n">
        <f aca="false">D18*Supuestos!$C$48</f>
        <v>46.9148279087146</v>
      </c>
      <c r="E21" s="23" t="n">
        <f aca="false">E18*Supuestos!$C$48</f>
        <v>53.4829038159346</v>
      </c>
      <c r="F21" s="23" t="n">
        <f aca="false">F18*Supuestos!$C$48</f>
        <v>60.1682667929265</v>
      </c>
      <c r="G21" s="23" t="n">
        <f aca="false">G18*Supuestos!$C$48</f>
        <v>66.1850934722191</v>
      </c>
      <c r="H21" s="23" t="n">
        <f aca="false">H18*Supuestos!$C$48</f>
        <v>70.8180500152745</v>
      </c>
    </row>
    <row r="22" customFormat="false" ht="15" hidden="false" customHeight="true" outlineLevel="0" collapsed="false">
      <c r="A22" s="7" t="s">
        <v>159</v>
      </c>
      <c r="C22" s="43" t="n">
        <f aca="false">Historicos!$E$52</f>
        <v>260.791</v>
      </c>
      <c r="D22" s="23" t="n">
        <f aca="false">D18*Supuestos!$C$49/360</f>
        <v>335.421319224516</v>
      </c>
      <c r="E22" s="23" t="n">
        <f aca="false">E18*Supuestos!$C$49/360</f>
        <v>382.380303915948</v>
      </c>
      <c r="F22" s="23" t="n">
        <f aca="false">F18*Supuestos!$C$49/360</f>
        <v>430.177841905442</v>
      </c>
      <c r="G22" s="23" t="n">
        <f aca="false">G18*Supuestos!$C$49/360</f>
        <v>473.195626095986</v>
      </c>
      <c r="H22" s="23" t="n">
        <f aca="false">H18*Supuestos!$C$49/360</f>
        <v>506.319319922705</v>
      </c>
    </row>
    <row r="23" customFormat="false" ht="15" hidden="false" customHeight="true" outlineLevel="0" collapsed="false">
      <c r="A23" s="7" t="s">
        <v>406</v>
      </c>
      <c r="C23" s="43" t="n">
        <f aca="false">Historicos!$E$53</f>
        <v>143.445</v>
      </c>
      <c r="D23" s="23" t="n">
        <f aca="false">D5*Supuestos!$C$50/360</f>
        <v>163.25424736171</v>
      </c>
      <c r="E23" s="23" t="n">
        <f aca="false">E5*Supuestos!$C$50/360</f>
        <v>186.10984199235</v>
      </c>
      <c r="F23" s="23" t="n">
        <f aca="false">F5*Supuestos!$C$50/360</f>
        <v>209.373572241393</v>
      </c>
      <c r="G23" s="23" t="n">
        <f aca="false">G5*Supuestos!$C$50/360</f>
        <v>230.310929465533</v>
      </c>
      <c r="H23" s="23" t="n">
        <f aca="false">H5*Supuestos!$C$50/360</f>
        <v>246.43269452812</v>
      </c>
    </row>
    <row r="24" customFormat="false" ht="15" hidden="false" customHeight="true" outlineLevel="0" collapsed="false">
      <c r="A24" s="7" t="s">
        <v>161</v>
      </c>
      <c r="C24" s="43" t="n">
        <f aca="false">Historicos!$E$54</f>
        <v>59.224</v>
      </c>
      <c r="D24" s="23" t="n">
        <f aca="false">D18*Supuestos!$C$51/360</f>
        <v>64.609039874482</v>
      </c>
      <c r="E24" s="23" t="n">
        <f aca="false">E18*Supuestos!$C$51/360</f>
        <v>73.6543054569094</v>
      </c>
      <c r="F24" s="23" t="n">
        <f aca="false">F18*Supuestos!$C$51/360</f>
        <v>82.8610936390231</v>
      </c>
      <c r="G24" s="23" t="n">
        <f aca="false">G18*Supuestos!$C$51/360</f>
        <v>91.1472030029255</v>
      </c>
      <c r="H24" s="23" t="n">
        <f aca="false">H18*Supuestos!$C$51/360</f>
        <v>97.5275072131303</v>
      </c>
    </row>
    <row r="25" customFormat="false" ht="15" hidden="false" customHeight="true" outlineLevel="0" collapsed="false">
      <c r="A25" s="7" t="s">
        <v>407</v>
      </c>
      <c r="C25" s="23" t="n">
        <f aca="false">C19+C20+C21-C22-C23-C24</f>
        <v>114.615</v>
      </c>
      <c r="D25" s="23" t="n">
        <f aca="false">D19+D20+D21-D22-D23-D24</f>
        <v>140.493265218559</v>
      </c>
      <c r="E25" s="23" t="n">
        <f aca="false">E19+E20+E21-E22-E23-E24</f>
        <v>160.162322349157</v>
      </c>
      <c r="F25" s="23" t="n">
        <f aca="false">F19+F20+F21-F22-F23-F24</f>
        <v>180.182612642802</v>
      </c>
      <c r="G25" s="23" t="n">
        <f aca="false">G19+G20+G21-G22-G23-G24</f>
        <v>198.200873907082</v>
      </c>
      <c r="H25" s="23" t="n">
        <f aca="false">H19+H20+H21-H22-H23-H24</f>
        <v>212.074935080578</v>
      </c>
    </row>
    <row r="26" customFormat="false" ht="15" hidden="false" customHeight="true" outlineLevel="0" collapsed="false">
      <c r="A26" s="7" t="s">
        <v>408</v>
      </c>
      <c r="D26" s="23" t="n">
        <f aca="false">D25-C25</f>
        <v>25.8782652185592</v>
      </c>
      <c r="E26" s="23" t="n">
        <f aca="false">E25-D25</f>
        <v>19.6690571305983</v>
      </c>
      <c r="F26" s="23" t="n">
        <f aca="false">F25-E25</f>
        <v>20.0202902936448</v>
      </c>
      <c r="G26" s="23" t="n">
        <f aca="false">G25-F25</f>
        <v>18.0182612642802</v>
      </c>
      <c r="H26" s="23" t="n">
        <f aca="false">H25-G25</f>
        <v>13.8740611734958</v>
      </c>
    </row>
    <row r="27" customFormat="false" ht="15" hidden="false" customHeight="true" outlineLevel="0" collapsed="false">
      <c r="A27" s="7" t="s">
        <v>409</v>
      </c>
      <c r="D27" s="23" t="n">
        <f aca="false">D8*(Supuestos!D$41+Supuestos!$C$65)</f>
        <v>631.274466233423</v>
      </c>
      <c r="E27" s="23" t="n">
        <f aca="false">E8*(Supuestos!E$41+Supuestos!$C$65)</f>
        <v>719.652891506102</v>
      </c>
      <c r="F27" s="23" t="n">
        <f aca="false">F8*(Supuestos!F$41+Supuestos!$C$65)</f>
        <v>867.438753154676</v>
      </c>
      <c r="G27" s="23" t="n">
        <f aca="false">G8*(Supuestos!G$41+Supuestos!$C$65)</f>
        <v>970.08567227798</v>
      </c>
      <c r="H27" s="23" t="n">
        <f aca="false">H8*(Supuestos!H$41+Supuestos!$C$65)</f>
        <v>1055.00792621182</v>
      </c>
    </row>
    <row r="28" customFormat="false" ht="15" hidden="false" customHeight="true" outlineLevel="0" collapsed="false">
      <c r="A28" s="6" t="s">
        <v>410</v>
      </c>
      <c r="D28" s="22" t="n">
        <f aca="false">D17+D14-D27-D26</f>
        <v>291.623237389733</v>
      </c>
      <c r="E28" s="22" t="n">
        <f aca="false">E17+E14-E27-E26</f>
        <v>342.282655842855</v>
      </c>
      <c r="F28" s="22" t="n">
        <f aca="false">F17+F14-F27-F26</f>
        <v>314.538996821881</v>
      </c>
      <c r="G28" s="22" t="n">
        <f aca="false">G17+G14-G27-G26</f>
        <v>321.371475708694</v>
      </c>
      <c r="H28" s="22" t="n">
        <f aca="false">H17+H14-H27-H26</f>
        <v>318.643695013695</v>
      </c>
      <c r="I28" s="22" t="n">
        <f aca="false">I17*(1-H35)</f>
        <v>327.502328982914</v>
      </c>
    </row>
    <row r="29" customFormat="false" ht="15" hidden="false" customHeight="true" outlineLevel="0" collapsed="false">
      <c r="A29" s="7" t="s">
        <v>411</v>
      </c>
      <c r="C29" s="43" t="n">
        <f aca="false">Historicos!$E$90+Historicos!$E$62+Historicos!$E$57</f>
        <v>4198.449</v>
      </c>
      <c r="D29" s="23" t="n">
        <f aca="false">C29+D27-D14+D26</f>
        <v>4150.37241170312</v>
      </c>
      <c r="E29" s="23" t="n">
        <f aca="false">D29+E27-E14+E26</f>
        <v>4085.73293582611</v>
      </c>
      <c r="F29" s="23" t="n">
        <f aca="false">E29+F27-F14+F26</f>
        <v>4105.75322611975</v>
      </c>
      <c r="G29" s="23" t="n">
        <f aca="false">F29+G27-G14+G26</f>
        <v>4171.48061880754</v>
      </c>
      <c r="H29" s="23" t="n">
        <f aca="false">G29+H27-H14+H26</f>
        <v>4287.45222122734</v>
      </c>
    </row>
    <row r="30" customFormat="false" ht="15" hidden="false" customHeight="true" outlineLevel="0" collapsed="false">
      <c r="A30" s="7" t="s">
        <v>412</v>
      </c>
      <c r="D30" s="24" t="n">
        <f aca="false">D17/C29</f>
        <v>0.0580087191943618</v>
      </c>
      <c r="E30" s="24" t="n">
        <f aca="false">E17/D29</f>
        <v>0.0668959679818027</v>
      </c>
      <c r="F30" s="24" t="n">
        <f aca="false">F17/E29</f>
        <v>0.0818847664226688</v>
      </c>
      <c r="G30" s="24" t="n">
        <f aca="false">G17/F29</f>
        <v>0.0942820591198363</v>
      </c>
      <c r="H30" s="24" t="n">
        <f aca="false">H17/G29</f>
        <v>0.104187298743278</v>
      </c>
    </row>
    <row r="31" customFormat="false" ht="15" hidden="false" customHeight="true" outlineLevel="0" collapsed="false">
      <c r="A31" s="7" t="s">
        <v>413</v>
      </c>
      <c r="D31" s="24" t="n">
        <f aca="false">(D27-D14+D26)/D17</f>
        <v>-0.197401969914008</v>
      </c>
      <c r="E31" s="24" t="n">
        <f aca="false">(E27-E14+E26)/E17</f>
        <v>-0.232814924122961</v>
      </c>
      <c r="F31" s="24" t="n">
        <f aca="false">(F27-F14+F26)/F17</f>
        <v>0.0598407847716737</v>
      </c>
      <c r="G31" s="24" t="n">
        <f aca="false">(G27-G14+G26)/G17</f>
        <v>0.169794845849217</v>
      </c>
      <c r="H31" s="24" t="n">
        <f aca="false">(H27-H14+H26)/H17</f>
        <v>0.266837368828571</v>
      </c>
    </row>
    <row r="33" customFormat="false" ht="15" hidden="false" customHeight="true" outlineLevel="0" collapsed="false">
      <c r="A33" s="7" t="s">
        <v>414</v>
      </c>
      <c r="H33" s="10" t="n">
        <f aca="false">H30*H31</f>
        <v>0.0278010646620126</v>
      </c>
    </row>
    <row r="34" customFormat="false" ht="15" hidden="false" customHeight="true" outlineLevel="0" collapsed="false">
      <c r="A34" s="6" t="s">
        <v>415</v>
      </c>
      <c r="H34" s="46" t="n">
        <f aca="false">IF(Supuestos!$C$24=1,H33,Supuestos!$C$25)</f>
        <v>0.0278010646620126</v>
      </c>
    </row>
    <row r="35" customFormat="false" ht="15" hidden="false" customHeight="true" outlineLevel="0" collapsed="false">
      <c r="A35" s="7" t="s">
        <v>416</v>
      </c>
      <c r="H35" s="24" t="n">
        <f aca="false">H34/H30</f>
        <v>0.266837368828571</v>
      </c>
    </row>
    <row r="36" customFormat="false" ht="15" hidden="false" customHeight="true" outlineLevel="0" collapsed="false">
      <c r="A36" s="7" t="s">
        <v>417</v>
      </c>
      <c r="H36" s="23" t="n">
        <f aca="false">I28/(Costo_Capital!$C$16-H34)</f>
        <v>6773.61504971895</v>
      </c>
    </row>
    <row r="37" customFormat="false" ht="15" hidden="false" customHeight="true" outlineLevel="0" collapsed="false">
      <c r="A37" s="7" t="s">
        <v>418</v>
      </c>
      <c r="H37" s="23" t="n">
        <f aca="false">H12*IF(Supuestos!$C$26=1,Comparables!$P$11,Comparables!$P$13)</f>
        <v>17331.9489442867</v>
      </c>
    </row>
    <row r="38" customFormat="false" ht="15" hidden="false" customHeight="true" outlineLevel="0" collapsed="false">
      <c r="A38" s="7" t="s">
        <v>419</v>
      </c>
      <c r="H38" s="23" t="n">
        <f aca="false">NPV(Costo_Capital!$C$10,D28:H28)</f>
        <v>1258.41701747142</v>
      </c>
    </row>
    <row r="39" customFormat="false" ht="15" hidden="false" customHeight="true" outlineLevel="0" collapsed="false">
      <c r="A39" s="7" t="s">
        <v>420</v>
      </c>
      <c r="H39" s="23" t="n">
        <f aca="false">H36/(1+Costo_Capital!$C$10)^5</f>
        <v>4560.44376052538</v>
      </c>
    </row>
    <row r="40" customFormat="false" ht="15" hidden="false" customHeight="true" outlineLevel="0" collapsed="false">
      <c r="A40" s="7" t="s">
        <v>421</v>
      </c>
      <c r="H40" s="23" t="n">
        <f aca="false">NPV(Supuestos!$C$7,Deuda!$L$13:$P$13)</f>
        <v>284.783121267308</v>
      </c>
    </row>
    <row r="41" customFormat="false" ht="15" hidden="false" customHeight="true" outlineLevel="0" collapsed="false">
      <c r="A41" s="6" t="s">
        <v>422</v>
      </c>
      <c r="H41" s="22" t="n">
        <f aca="false">H38+H39+H40</f>
        <v>6103.6438992641</v>
      </c>
    </row>
    <row r="42" customFormat="false" ht="15" hidden="false" customHeight="true" outlineLevel="0" collapsed="false">
      <c r="A42" s="7" t="s">
        <v>423</v>
      </c>
      <c r="H42" s="23" t="n">
        <f aca="false">Valoracion!$C$20</f>
        <v>1944.487135</v>
      </c>
    </row>
    <row r="43" customFormat="false" ht="15" hidden="false" customHeight="true" outlineLevel="0" collapsed="false">
      <c r="A43" s="7" t="s">
        <v>424</v>
      </c>
      <c r="H43" s="23" t="n">
        <f aca="false">Valoracion!$C$26</f>
        <v>1289.78732</v>
      </c>
    </row>
    <row r="44" customFormat="false" ht="15" hidden="false" customHeight="true" outlineLevel="0" collapsed="false">
      <c r="A44" s="6" t="s">
        <v>425</v>
      </c>
      <c r="H44" s="22" t="n">
        <f aca="false">H41+H42-H43</f>
        <v>6758.3437142641</v>
      </c>
    </row>
    <row r="47" customFormat="false" ht="15" hidden="false" customHeight="true" outlineLevel="0" collapsed="false">
      <c r="A47" s="4" t="s">
        <v>552</v>
      </c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true" outlineLevel="0" collapsed="false">
      <c r="A48" s="6" t="s">
        <v>57</v>
      </c>
      <c r="C48" s="6" t="s">
        <v>400</v>
      </c>
      <c r="D48" s="6" t="s">
        <v>58</v>
      </c>
      <c r="E48" s="6" t="s">
        <v>59</v>
      </c>
      <c r="F48" s="6" t="s">
        <v>60</v>
      </c>
      <c r="G48" s="6" t="s">
        <v>61</v>
      </c>
      <c r="H48" s="6" t="s">
        <v>62</v>
      </c>
      <c r="I48" s="6" t="s">
        <v>401</v>
      </c>
    </row>
    <row r="49" customFormat="false" ht="15" hidden="false" customHeight="true" outlineLevel="0" collapsed="false">
      <c r="A49" s="7" t="s">
        <v>115</v>
      </c>
      <c r="C49" s="43" t="n">
        <f aca="false">Historicos!$E$5</f>
        <v>3679.237</v>
      </c>
      <c r="D49" s="23" t="n">
        <f aca="false">C49*(1+D50)</f>
        <v>4083.95307</v>
      </c>
      <c r="E49" s="23" t="n">
        <f aca="false">D49*(1+E50)</f>
        <v>4533.1879077</v>
      </c>
      <c r="F49" s="23" t="n">
        <f aca="false">E49*(1+F50)</f>
        <v>4963.8407589315</v>
      </c>
      <c r="G49" s="23" t="n">
        <f aca="false">F49*(1+G50)</f>
        <v>5311.30961205671</v>
      </c>
      <c r="H49" s="23" t="n">
        <f aca="false">G49*(1+H50)</f>
        <v>5523.76199653898</v>
      </c>
    </row>
    <row r="50" customFormat="false" ht="15" hidden="false" customHeight="true" outlineLevel="0" collapsed="false">
      <c r="A50" s="7" t="s">
        <v>63</v>
      </c>
      <c r="C50" s="25" t="n">
        <f aca="false">Historicos!$E$103</f>
        <v>0.144607252963997</v>
      </c>
      <c r="D50" s="24" t="n">
        <f aca="false">Supuestos!D$36+Supuestos!$D$63</f>
        <v>0.11</v>
      </c>
      <c r="E50" s="24" t="n">
        <f aca="false">Supuestos!E$36+Supuestos!$D$63</f>
        <v>0.11</v>
      </c>
      <c r="F50" s="24" t="n">
        <f aca="false">Supuestos!F$36+Supuestos!$D$63</f>
        <v>0.095</v>
      </c>
      <c r="G50" s="24" t="n">
        <f aca="false">Supuestos!G$36+Supuestos!$D$63</f>
        <v>0.07</v>
      </c>
      <c r="H50" s="24" t="n">
        <f aca="false">Supuestos!H$36+Supuestos!$D$63</f>
        <v>0.04</v>
      </c>
    </row>
    <row r="51" customFormat="false" ht="15" hidden="false" customHeight="true" outlineLevel="0" collapsed="false">
      <c r="A51" s="7" t="s">
        <v>116</v>
      </c>
      <c r="C51" s="43" t="n">
        <f aca="false">Historicos!$E$6</f>
        <v>267.027</v>
      </c>
      <c r="D51" s="23" t="n">
        <f aca="false">D49*Supuestos!$C$45</f>
        <v>306.489646285082</v>
      </c>
      <c r="E51" s="23" t="n">
        <f aca="false">E49*Supuestos!$C$45</f>
        <v>340.203507376441</v>
      </c>
      <c r="F51" s="23" t="n">
        <f aca="false">F49*Supuestos!$C$45</f>
        <v>372.522840577203</v>
      </c>
      <c r="G51" s="23" t="n">
        <f aca="false">G49*Supuestos!$C$45</f>
        <v>398.599439417607</v>
      </c>
      <c r="H51" s="23" t="n">
        <f aca="false">H49*Supuestos!$C$45</f>
        <v>414.543416994311</v>
      </c>
    </row>
    <row r="52" customFormat="false" ht="15" hidden="false" customHeight="true" outlineLevel="0" collapsed="false">
      <c r="A52" s="6" t="s">
        <v>117</v>
      </c>
      <c r="C52" s="43" t="n">
        <f aca="false">Historicos!$E$7</f>
        <v>3946.264</v>
      </c>
      <c r="D52" s="22" t="n">
        <f aca="false">D49+D51</f>
        <v>4390.44271628508</v>
      </c>
      <c r="E52" s="22" t="n">
        <f aca="false">E49+E51</f>
        <v>4873.39141507644</v>
      </c>
      <c r="F52" s="22" t="n">
        <f aca="false">F49+F51</f>
        <v>5336.3635995087</v>
      </c>
      <c r="G52" s="22" t="n">
        <f aca="false">G49+G51</f>
        <v>5709.90905147431</v>
      </c>
      <c r="H52" s="22" t="n">
        <f aca="false">H49+H51</f>
        <v>5938.30541353329</v>
      </c>
    </row>
    <row r="53" customFormat="false" ht="15" hidden="false" customHeight="true" outlineLevel="0" collapsed="false">
      <c r="A53" s="7" t="s">
        <v>118</v>
      </c>
      <c r="C53" s="43" t="n">
        <f aca="false">Historicos!$E$8</f>
        <v>717.075</v>
      </c>
      <c r="D53" s="23" t="n">
        <f aca="false">D49*Supuestos!D$37</f>
        <v>816.790614</v>
      </c>
      <c r="E53" s="23" t="n">
        <f aca="false">E49*Supuestos!E$37</f>
        <v>906.63758154</v>
      </c>
      <c r="F53" s="23" t="n">
        <f aca="false">F49*Supuestos!F$37</f>
        <v>992.7681517863</v>
      </c>
      <c r="G53" s="23" t="n">
        <f aca="false">G49*Supuestos!G$37</f>
        <v>1062.26192241134</v>
      </c>
      <c r="H53" s="23" t="n">
        <f aca="false">H49*Supuestos!H$37</f>
        <v>1104.7523993078</v>
      </c>
    </row>
    <row r="54" customFormat="false" ht="15" hidden="false" customHeight="true" outlineLevel="0" collapsed="false">
      <c r="A54" s="7" t="s">
        <v>119</v>
      </c>
      <c r="C54" s="43" t="n">
        <f aca="false">Historicos!$E$9</f>
        <v>640.225</v>
      </c>
      <c r="D54" s="23" t="n">
        <f aca="false">D51*Supuestos!D$38</f>
        <v>735.575151084196</v>
      </c>
      <c r="E54" s="23" t="n">
        <f aca="false">E51*Supuestos!E$38</f>
        <v>816.488417703458</v>
      </c>
      <c r="F54" s="23" t="n">
        <f aca="false">F51*Supuestos!F$38</f>
        <v>894.054817385286</v>
      </c>
      <c r="G54" s="23" t="n">
        <f aca="false">G51*Supuestos!G$38</f>
        <v>956.638654602256</v>
      </c>
      <c r="H54" s="23" t="n">
        <f aca="false">H51*Supuestos!H$38</f>
        <v>994.904200786347</v>
      </c>
    </row>
    <row r="55" customFormat="false" ht="15" hidden="false" customHeight="true" outlineLevel="0" collapsed="false">
      <c r="A55" s="7" t="s">
        <v>402</v>
      </c>
      <c r="C55" s="43" t="n">
        <f aca="false">Historicos!$E$10</f>
        <v>1555.639</v>
      </c>
      <c r="D55" s="23" t="n">
        <f aca="false">D52*(Supuestos!D$39+Supuestos!$D$64)</f>
        <v>1756.17708651403</v>
      </c>
      <c r="E55" s="23" t="n">
        <f aca="false">E52*(Supuestos!E$39+Supuestos!$D$64)</f>
        <v>1949.35656603058</v>
      </c>
      <c r="F55" s="23" t="n">
        <f aca="false">F52*(Supuestos!F$39+Supuestos!$D$64)</f>
        <v>2134.54543980348</v>
      </c>
      <c r="G55" s="23" t="n">
        <f aca="false">G52*(Supuestos!G$39+Supuestos!$D$64)</f>
        <v>2283.96362058973</v>
      </c>
      <c r="H55" s="23" t="n">
        <f aca="false">H52*(Supuestos!H$39+Supuestos!$D$64)</f>
        <v>2375.32216541331</v>
      </c>
    </row>
    <row r="56" customFormat="false" ht="15" hidden="false" customHeight="true" outlineLevel="0" collapsed="false">
      <c r="A56" s="6" t="s">
        <v>121</v>
      </c>
      <c r="C56" s="43" t="n">
        <f aca="false">Historicos!$E$11</f>
        <v>1033.325</v>
      </c>
      <c r="D56" s="22" t="n">
        <f aca="false">D52-D53-D54-D55</f>
        <v>1081.89986468685</v>
      </c>
      <c r="E56" s="22" t="n">
        <f aca="false">E52-E53-E54-E55</f>
        <v>1200.90884980241</v>
      </c>
      <c r="F56" s="22" t="n">
        <f aca="false">F52-F53-F54-F55</f>
        <v>1314.99519053364</v>
      </c>
      <c r="G56" s="22" t="n">
        <f aca="false">G52-G53-G54-G55</f>
        <v>1407.04485387099</v>
      </c>
      <c r="H56" s="22" t="n">
        <f aca="false">H52-H53-H54-H55</f>
        <v>1463.32664802583</v>
      </c>
    </row>
    <row r="57" customFormat="false" ht="15" hidden="false" customHeight="true" outlineLevel="0" collapsed="false">
      <c r="A57" s="7" t="s">
        <v>208</v>
      </c>
      <c r="C57" s="24" t="n">
        <f aca="false">C56/C52</f>
        <v>0.261848928505544</v>
      </c>
      <c r="D57" s="24" t="n">
        <f aca="false">D56/D52</f>
        <v>0.246421587662187</v>
      </c>
      <c r="E57" s="24" t="n">
        <f aca="false">E56/E52</f>
        <v>0.246421587662187</v>
      </c>
      <c r="F57" s="24" t="n">
        <f aca="false">F56/F52</f>
        <v>0.246421587662187</v>
      </c>
      <c r="G57" s="24" t="n">
        <f aca="false">G56/G52</f>
        <v>0.246421587662187</v>
      </c>
      <c r="H57" s="24" t="n">
        <f aca="false">H56/H52</f>
        <v>0.246421587662187</v>
      </c>
    </row>
    <row r="58" customFormat="false" ht="15" hidden="false" customHeight="true" outlineLevel="0" collapsed="false">
      <c r="A58" s="7" t="s">
        <v>69</v>
      </c>
      <c r="C58" s="43" t="n">
        <f aca="false">Historicos!$E$12</f>
        <v>582.269</v>
      </c>
      <c r="D58" s="23" t="n">
        <f aca="false">D52*Supuestos!D$42</f>
        <v>686.670653439685</v>
      </c>
      <c r="E58" s="23" t="n">
        <f aca="false">E52*Supuestos!E$42</f>
        <v>762.204425318051</v>
      </c>
      <c r="F58" s="23" t="n">
        <f aca="false">F52*Supuestos!F$42</f>
        <v>800.454539926305</v>
      </c>
      <c r="G58" s="23" t="n">
        <f aca="false">G52*Supuestos!G$42</f>
        <v>827.936812463776</v>
      </c>
      <c r="H58" s="23" t="n">
        <f aca="false">H52*Supuestos!H$42</f>
        <v>831.362757894661</v>
      </c>
    </row>
    <row r="59" customFormat="false" ht="15" hidden="false" customHeight="true" outlineLevel="0" collapsed="false">
      <c r="A59" s="7" t="s">
        <v>298</v>
      </c>
      <c r="C59" s="43" t="n">
        <f aca="false">Historicos!$E$13</f>
        <v>451.056000000001</v>
      </c>
      <c r="D59" s="23" t="n">
        <f aca="false">D56-D58</f>
        <v>395.229211247168</v>
      </c>
      <c r="E59" s="23" t="n">
        <f aca="false">E56-E58</f>
        <v>438.704424484357</v>
      </c>
      <c r="F59" s="23" t="n">
        <f aca="false">F56-F58</f>
        <v>514.540650607331</v>
      </c>
      <c r="G59" s="23" t="n">
        <f aca="false">G56-G58</f>
        <v>579.108041407214</v>
      </c>
      <c r="H59" s="23" t="n">
        <f aca="false">H56-H58</f>
        <v>631.963890131169</v>
      </c>
    </row>
    <row r="60" customFormat="false" ht="15" hidden="false" customHeight="true" outlineLevel="0" collapsed="false">
      <c r="A60" s="7" t="s">
        <v>403</v>
      </c>
      <c r="D60" s="23" t="n">
        <f aca="false">D59*Supuestos!$C$6</f>
        <v>158.091684498867</v>
      </c>
      <c r="E60" s="23" t="n">
        <f aca="false">E59*Supuestos!$C$6</f>
        <v>175.481769793743</v>
      </c>
      <c r="F60" s="23" t="n">
        <f aca="false">F59*Supuestos!$C$6</f>
        <v>205.816260242932</v>
      </c>
      <c r="G60" s="23" t="n">
        <f aca="false">G59*Supuestos!$C$6</f>
        <v>231.643216562886</v>
      </c>
      <c r="H60" s="23" t="n">
        <f aca="false">H59*Supuestos!$C$6</f>
        <v>252.785556052468</v>
      </c>
    </row>
    <row r="61" customFormat="false" ht="15" hidden="false" customHeight="true" outlineLevel="0" collapsed="false">
      <c r="A61" s="6" t="s">
        <v>404</v>
      </c>
      <c r="D61" s="22" t="n">
        <f aca="false">D59-D60</f>
        <v>237.137526748301</v>
      </c>
      <c r="E61" s="22" t="n">
        <f aca="false">E59-E60</f>
        <v>263.222654690614</v>
      </c>
      <c r="F61" s="22" t="n">
        <f aca="false">F59-F60</f>
        <v>308.724390364398</v>
      </c>
      <c r="G61" s="22" t="n">
        <f aca="false">G59-G60</f>
        <v>347.464824844329</v>
      </c>
      <c r="H61" s="22" t="n">
        <f aca="false">H59-H60</f>
        <v>379.178334078702</v>
      </c>
      <c r="I61" s="23" t="n">
        <f aca="false">H61*(1+H78)</f>
        <v>387.961567969539</v>
      </c>
    </row>
    <row r="62" customFormat="false" ht="15" hidden="false" customHeight="true" outlineLevel="0" collapsed="false">
      <c r="A62" s="7" t="s">
        <v>405</v>
      </c>
      <c r="C62" s="23" t="n">
        <f aca="false">C53+C54+C55</f>
        <v>2912.939</v>
      </c>
      <c r="D62" s="23" t="n">
        <f aca="false">D53+D54+D55</f>
        <v>3308.54285159823</v>
      </c>
      <c r="E62" s="23" t="n">
        <f aca="false">E53+E54+E55</f>
        <v>3672.48256527403</v>
      </c>
      <c r="F62" s="23" t="n">
        <f aca="false">F53+F54+F55</f>
        <v>4021.36840897507</v>
      </c>
      <c r="G62" s="23" t="n">
        <f aca="false">G53+G54+G55</f>
        <v>4302.86419760332</v>
      </c>
      <c r="H62" s="23" t="n">
        <f aca="false">H53+H54+H55</f>
        <v>4474.97876550746</v>
      </c>
    </row>
    <row r="63" customFormat="false" ht="15" hidden="false" customHeight="true" outlineLevel="0" collapsed="false">
      <c r="A63" s="7" t="s">
        <v>144</v>
      </c>
      <c r="C63" s="43" t="n">
        <f aca="false">Historicos!$E$37</f>
        <v>435.497</v>
      </c>
      <c r="D63" s="23" t="n">
        <f aca="false">D52*Supuestos!$C$46/360</f>
        <v>508.161044007058</v>
      </c>
      <c r="E63" s="23" t="n">
        <f aca="false">E52*Supuestos!$C$46/360</f>
        <v>564.058758847835</v>
      </c>
      <c r="F63" s="23" t="n">
        <f aca="false">F52*Supuestos!$C$46/360</f>
        <v>617.644340938379</v>
      </c>
      <c r="G63" s="23" t="n">
        <f aca="false">G52*Supuestos!$C$46/360</f>
        <v>660.879444804065</v>
      </c>
      <c r="H63" s="23" t="n">
        <f aca="false">H52*Supuestos!$C$46/360</f>
        <v>687.314622596228</v>
      </c>
    </row>
    <row r="64" customFormat="false" ht="15" hidden="false" customHeight="true" outlineLevel="0" collapsed="false">
      <c r="A64" s="7" t="s">
        <v>145</v>
      </c>
      <c r="C64" s="43" t="n">
        <f aca="false">Historicos!$E$38</f>
        <v>100.99</v>
      </c>
      <c r="D64" s="23" t="n">
        <f aca="false">D51*Supuestos!$C$47/360</f>
        <v>131.416130190585</v>
      </c>
      <c r="E64" s="23" t="n">
        <f aca="false">E51*Supuestos!$C$47/360</f>
        <v>145.87190451155</v>
      </c>
      <c r="F64" s="23" t="n">
        <f aca="false">F51*Supuestos!$C$47/360</f>
        <v>159.729735440147</v>
      </c>
      <c r="G64" s="23" t="n">
        <f aca="false">G51*Supuestos!$C$47/360</f>
        <v>170.910816920957</v>
      </c>
      <c r="H64" s="23" t="n">
        <f aca="false">H51*Supuestos!$C$47/360</f>
        <v>177.747249597796</v>
      </c>
    </row>
    <row r="65" customFormat="false" ht="15" hidden="false" customHeight="true" outlineLevel="0" collapsed="false">
      <c r="A65" s="7" t="s">
        <v>146</v>
      </c>
      <c r="C65" s="43" t="n">
        <f aca="false">Historicos!$E$39</f>
        <v>41.588</v>
      </c>
      <c r="D65" s="23" t="n">
        <f aca="false">D62*Supuestos!$C$48</f>
        <v>45.6802271742747</v>
      </c>
      <c r="E65" s="23" t="n">
        <f aca="false">E62*Supuestos!$C$48</f>
        <v>50.705052163445</v>
      </c>
      <c r="F65" s="23" t="n">
        <f aca="false">F62*Supuestos!$C$48</f>
        <v>55.5220321189722</v>
      </c>
      <c r="G65" s="23" t="n">
        <f aca="false">G62*Supuestos!$C$48</f>
        <v>59.4085743673003</v>
      </c>
      <c r="H65" s="23" t="n">
        <f aca="false">H62*Supuestos!$C$48</f>
        <v>61.7849173419923</v>
      </c>
    </row>
    <row r="66" customFormat="false" ht="15" hidden="false" customHeight="true" outlineLevel="0" collapsed="false">
      <c r="A66" s="7" t="s">
        <v>159</v>
      </c>
      <c r="C66" s="43" t="n">
        <f aca="false">Historicos!$E$52</f>
        <v>260.791</v>
      </c>
      <c r="D66" s="23" t="n">
        <f aca="false">D62*Supuestos!$C$49/360</f>
        <v>326.594442402818</v>
      </c>
      <c r="E66" s="23" t="n">
        <f aca="false">E62*Supuestos!$C$49/360</f>
        <v>362.519831067128</v>
      </c>
      <c r="F66" s="23" t="n">
        <f aca="false">F62*Supuestos!$C$49/360</f>
        <v>396.959215018505</v>
      </c>
      <c r="G66" s="23" t="n">
        <f aca="false">G62*Supuestos!$C$49/360</f>
        <v>424.746360069801</v>
      </c>
      <c r="H66" s="23" t="n">
        <f aca="false">H62*Supuestos!$C$49/360</f>
        <v>441.736214472593</v>
      </c>
    </row>
    <row r="67" customFormat="false" ht="15" hidden="false" customHeight="true" outlineLevel="0" collapsed="false">
      <c r="A67" s="7" t="s">
        <v>406</v>
      </c>
      <c r="C67" s="43" t="n">
        <f aca="false">Historicos!$E$53</f>
        <v>143.445</v>
      </c>
      <c r="D67" s="23" t="n">
        <f aca="false">D49*Supuestos!$C$50/360</f>
        <v>158.958082957455</v>
      </c>
      <c r="E67" s="23" t="n">
        <f aca="false">E49*Supuestos!$C$50/360</f>
        <v>176.443472082775</v>
      </c>
      <c r="F67" s="23" t="n">
        <f aca="false">F49*Supuestos!$C$50/360</f>
        <v>193.205601930638</v>
      </c>
      <c r="G67" s="23" t="n">
        <f aca="false">G49*Supuestos!$C$50/360</f>
        <v>206.729994065783</v>
      </c>
      <c r="H67" s="23" t="n">
        <f aca="false">H49*Supuestos!$C$50/360</f>
        <v>214.999193828414</v>
      </c>
    </row>
    <row r="68" customFormat="false" ht="15" hidden="false" customHeight="true" outlineLevel="0" collapsed="false">
      <c r="A68" s="7" t="s">
        <v>161</v>
      </c>
      <c r="C68" s="43" t="n">
        <f aca="false">Historicos!$E$54</f>
        <v>59.224</v>
      </c>
      <c r="D68" s="23" t="n">
        <f aca="false">D62*Supuestos!$C$51/360</f>
        <v>62.9088019830482</v>
      </c>
      <c r="E68" s="23" t="n">
        <f aca="false">E62*Supuestos!$C$51/360</f>
        <v>69.8287702011835</v>
      </c>
      <c r="F68" s="23" t="n">
        <f aca="false">F62*Supuestos!$C$51/360</f>
        <v>76.462503370296</v>
      </c>
      <c r="G68" s="23" t="n">
        <f aca="false">G62*Supuestos!$C$51/360</f>
        <v>81.8148786062167</v>
      </c>
      <c r="H68" s="23" t="n">
        <f aca="false">H62*Supuestos!$C$51/360</f>
        <v>85.0874737504654</v>
      </c>
    </row>
    <row r="69" customFormat="false" ht="15" hidden="false" customHeight="true" outlineLevel="0" collapsed="false">
      <c r="A69" s="7" t="s">
        <v>407</v>
      </c>
      <c r="C69" s="23" t="n">
        <f aca="false">C63+C64+C65-C66-C67-C68</f>
        <v>114.615</v>
      </c>
      <c r="D69" s="23" t="n">
        <f aca="false">D63+D64+D65-D66-D67-D68</f>
        <v>136.796074028597</v>
      </c>
      <c r="E69" s="23" t="n">
        <f aca="false">E63+E64+E65-E66-E67-E68</f>
        <v>151.843642171743</v>
      </c>
      <c r="F69" s="23" t="n">
        <f aca="false">F63+F64+F65-F66-F67-F68</f>
        <v>166.268788178058</v>
      </c>
      <c r="G69" s="23" t="n">
        <f aca="false">G63+G64+G65-G66-G67-G68</f>
        <v>177.907603350522</v>
      </c>
      <c r="H69" s="23" t="n">
        <f aca="false">H63+H64+H65-H66-H67-H68</f>
        <v>185.023907484543</v>
      </c>
    </row>
    <row r="70" customFormat="false" ht="15" hidden="false" customHeight="true" outlineLevel="0" collapsed="false">
      <c r="A70" s="7" t="s">
        <v>408</v>
      </c>
      <c r="D70" s="23" t="n">
        <f aca="false">D69-C69</f>
        <v>22.1810740285972</v>
      </c>
      <c r="E70" s="23" t="n">
        <f aca="false">E69-D69</f>
        <v>15.0475681431458</v>
      </c>
      <c r="F70" s="23" t="n">
        <f aca="false">F69-E69</f>
        <v>14.4251460063154</v>
      </c>
      <c r="G70" s="23" t="n">
        <f aca="false">G69-F69</f>
        <v>11.6388151724641</v>
      </c>
      <c r="H70" s="23" t="n">
        <f aca="false">H69-G69</f>
        <v>7.11630413402082</v>
      </c>
    </row>
    <row r="71" customFormat="false" ht="15" hidden="false" customHeight="true" outlineLevel="0" collapsed="false">
      <c r="A71" s="7" t="s">
        <v>409</v>
      </c>
      <c r="D71" s="23" t="n">
        <f aca="false">D52*(Supuestos!D$41+Supuestos!$D$65)</f>
        <v>614.661980279912</v>
      </c>
      <c r="E71" s="23" t="n">
        <f aca="false">E52*(Supuestos!E$41+Supuestos!$D$65)</f>
        <v>682.274798110702</v>
      </c>
      <c r="F71" s="23" t="n">
        <f aca="false">F52*(Supuestos!F$41+Supuestos!$D$65)</f>
        <v>800.454539926306</v>
      </c>
      <c r="G71" s="23" t="n">
        <f aca="false">G52*(Supuestos!G$41+Supuestos!$D$65)</f>
        <v>870.761130349833</v>
      </c>
      <c r="H71" s="23" t="n">
        <f aca="false">H52*(Supuestos!H$41+Supuestos!$D$65)</f>
        <v>920.437339097659</v>
      </c>
    </row>
    <row r="72" customFormat="false" ht="15" hidden="false" customHeight="true" outlineLevel="0" collapsed="false">
      <c r="A72" s="6" t="s">
        <v>410</v>
      </c>
      <c r="D72" s="22" t="n">
        <f aca="false">D61+D58-D71-D70</f>
        <v>286.965125879477</v>
      </c>
      <c r="E72" s="22" t="n">
        <f aca="false">E61+E58-E71-E70</f>
        <v>328.104713754817</v>
      </c>
      <c r="F72" s="22" t="n">
        <f aca="false">F61+F58-F71-F70</f>
        <v>294.299244358083</v>
      </c>
      <c r="G72" s="22" t="n">
        <f aca="false">G61+G58-G71-G70</f>
        <v>293.001691785807</v>
      </c>
      <c r="H72" s="22" t="n">
        <f aca="false">H61+H58-H71-H70</f>
        <v>282.987448741682</v>
      </c>
      <c r="I72" s="22" t="n">
        <f aca="false">I61*(1-H79)</f>
        <v>289.542530419829</v>
      </c>
    </row>
    <row r="73" customFormat="false" ht="15" hidden="false" customHeight="true" outlineLevel="0" collapsed="false">
      <c r="A73" s="7" t="s">
        <v>411</v>
      </c>
      <c r="C73" s="43" t="n">
        <f aca="false">Historicos!$E$90+Historicos!$E$62+Historicos!$E$57</f>
        <v>4198.449</v>
      </c>
      <c r="D73" s="23" t="n">
        <f aca="false">C73+D71-D58+D70</f>
        <v>4148.62140086882</v>
      </c>
      <c r="E73" s="23" t="n">
        <f aca="false">D73+E71-E58+E70</f>
        <v>4083.73934180462</v>
      </c>
      <c r="F73" s="23" t="n">
        <f aca="false">E73+F71-F58+F70</f>
        <v>4098.16448781094</v>
      </c>
      <c r="G73" s="23" t="n">
        <f aca="false">F73+G71-G58+G70</f>
        <v>4152.62762086946</v>
      </c>
      <c r="H73" s="23" t="n">
        <f aca="false">G73+H71-H58+H70</f>
        <v>4248.81850620648</v>
      </c>
    </row>
    <row r="74" customFormat="false" ht="15" hidden="false" customHeight="true" outlineLevel="0" collapsed="false">
      <c r="A74" s="7" t="s">
        <v>412</v>
      </c>
      <c r="D74" s="24" t="n">
        <f aca="false">D61/C73</f>
        <v>0.056482173952405</v>
      </c>
      <c r="E74" s="24" t="n">
        <f aca="false">E61/D73</f>
        <v>0.0634482227362296</v>
      </c>
      <c r="F74" s="24" t="n">
        <f aca="false">F61/E73</f>
        <v>0.0755984563471115</v>
      </c>
      <c r="G74" s="24" t="n">
        <f aca="false">G61/F73</f>
        <v>0.0847854755166085</v>
      </c>
      <c r="H74" s="24" t="n">
        <f aca="false">H61/G73</f>
        <v>0.0913104589906164</v>
      </c>
    </row>
    <row r="75" customFormat="false" ht="15" hidden="false" customHeight="true" outlineLevel="0" collapsed="false">
      <c r="A75" s="7" t="s">
        <v>413</v>
      </c>
      <c r="D75" s="24" t="n">
        <f aca="false">(D71-D58+D70)/D61</f>
        <v>-0.210121104889754</v>
      </c>
      <c r="E75" s="24" t="n">
        <f aca="false">(E71-E58+E70)/E61</f>
        <v>-0.24649116596922</v>
      </c>
      <c r="F75" s="24" t="n">
        <f aca="false">(F71-F58+F70)/F61</f>
        <v>0.0467249963285663</v>
      </c>
      <c r="G75" s="24" t="n">
        <f aca="false">(G71-G58+G70)/G61</f>
        <v>0.15674430665873</v>
      </c>
      <c r="H75" s="24" t="n">
        <f aca="false">(H71-H58+H70)/H61</f>
        <v>0.253682440930431</v>
      </c>
    </row>
    <row r="77" customFormat="false" ht="15" hidden="false" customHeight="true" outlineLevel="0" collapsed="false">
      <c r="A77" s="7" t="s">
        <v>414</v>
      </c>
      <c r="H77" s="10" t="n">
        <f aca="false">H74*H75</f>
        <v>0.0231638601192176</v>
      </c>
    </row>
    <row r="78" customFormat="false" ht="15" hidden="false" customHeight="true" outlineLevel="0" collapsed="false">
      <c r="A78" s="6" t="s">
        <v>415</v>
      </c>
      <c r="H78" s="46" t="n">
        <f aca="false">IF(Supuestos!$C$24=1,H77,Supuestos!$C$25)</f>
        <v>0.0231638601192176</v>
      </c>
    </row>
    <row r="79" customFormat="false" ht="15" hidden="false" customHeight="true" outlineLevel="0" collapsed="false">
      <c r="A79" s="7" t="s">
        <v>416</v>
      </c>
      <c r="H79" s="24" t="n">
        <f aca="false">H78/H74</f>
        <v>0.253682440930431</v>
      </c>
    </row>
    <row r="80" customFormat="false" ht="15" hidden="false" customHeight="true" outlineLevel="0" collapsed="false">
      <c r="A80" s="7" t="s">
        <v>417</v>
      </c>
      <c r="H80" s="23" t="n">
        <f aca="false">I72/(Costo_Capital!$C$16-H78)</f>
        <v>5464.41566447372</v>
      </c>
    </row>
    <row r="81" customFormat="false" ht="15" hidden="false" customHeight="true" outlineLevel="0" collapsed="false">
      <c r="A81" s="7" t="s">
        <v>418</v>
      </c>
      <c r="H81" s="23" t="n">
        <f aca="false">H56*IF(Supuestos!$C$26=1,Comparables!$P$11,Comparables!$P$13)</f>
        <v>15121.1877857046</v>
      </c>
    </row>
    <row r="82" customFormat="false" ht="15" hidden="false" customHeight="true" outlineLevel="0" collapsed="false">
      <c r="A82" s="7" t="s">
        <v>419</v>
      </c>
      <c r="H82" s="23" t="n">
        <f aca="false">NPV(Costo_Capital!$C$10,D72:H72)</f>
        <v>1181.36809485429</v>
      </c>
    </row>
    <row r="83" customFormat="false" ht="15" hidden="false" customHeight="true" outlineLevel="0" collapsed="false">
      <c r="A83" s="7" t="s">
        <v>420</v>
      </c>
      <c r="H83" s="23" t="n">
        <f aca="false">H80/(1+Costo_Capital!$C$10)^5</f>
        <v>3679.00451074501</v>
      </c>
    </row>
    <row r="84" customFormat="false" ht="15" hidden="false" customHeight="true" outlineLevel="0" collapsed="false">
      <c r="A84" s="7" t="s">
        <v>421</v>
      </c>
      <c r="H84" s="23" t="n">
        <f aca="false">NPV(Supuestos!$C$7,Deuda!$L$13:$P$13)</f>
        <v>284.783121267308</v>
      </c>
    </row>
    <row r="85" customFormat="false" ht="15" hidden="false" customHeight="true" outlineLevel="0" collapsed="false">
      <c r="A85" s="6" t="s">
        <v>422</v>
      </c>
      <c r="H85" s="22" t="n">
        <f aca="false">H82+H83+H84</f>
        <v>5145.15572686662</v>
      </c>
    </row>
    <row r="86" customFormat="false" ht="15" hidden="false" customHeight="true" outlineLevel="0" collapsed="false">
      <c r="A86" s="7" t="s">
        <v>423</v>
      </c>
      <c r="H86" s="23" t="n">
        <f aca="false">Valoracion!$C$20</f>
        <v>1944.487135</v>
      </c>
    </row>
    <row r="87" customFormat="false" ht="15" hidden="false" customHeight="true" outlineLevel="0" collapsed="false">
      <c r="A87" s="7" t="s">
        <v>424</v>
      </c>
      <c r="H87" s="23" t="n">
        <f aca="false">Valoracion!$C$26</f>
        <v>1289.78732</v>
      </c>
    </row>
    <row r="88" customFormat="false" ht="15" hidden="false" customHeight="true" outlineLevel="0" collapsed="false">
      <c r="A88" s="6" t="s">
        <v>425</v>
      </c>
      <c r="H88" s="22" t="n">
        <f aca="false">H85+H86-H87</f>
        <v>5799.85554186662</v>
      </c>
    </row>
    <row r="91" customFormat="false" ht="15" hidden="false" customHeight="true" outlineLevel="0" collapsed="false">
      <c r="A91" s="4" t="s">
        <v>553</v>
      </c>
      <c r="B91" s="5"/>
      <c r="C91" s="5"/>
      <c r="D91" s="5"/>
      <c r="E91" s="5"/>
      <c r="F91" s="5"/>
      <c r="G91" s="5"/>
      <c r="H91" s="5"/>
      <c r="I91" s="5"/>
      <c r="J91" s="5"/>
    </row>
    <row r="92" customFormat="false" ht="15" hidden="false" customHeight="true" outlineLevel="0" collapsed="false">
      <c r="A92" s="6" t="s">
        <v>57</v>
      </c>
      <c r="C92" s="6" t="s">
        <v>400</v>
      </c>
      <c r="D92" s="6" t="s">
        <v>58</v>
      </c>
      <c r="E92" s="6" t="s">
        <v>59</v>
      </c>
      <c r="F92" s="6" t="s">
        <v>60</v>
      </c>
      <c r="G92" s="6" t="s">
        <v>61</v>
      </c>
      <c r="H92" s="6" t="s">
        <v>62</v>
      </c>
      <c r="I92" s="6" t="s">
        <v>401</v>
      </c>
    </row>
    <row r="93" customFormat="false" ht="15" hidden="false" customHeight="true" outlineLevel="0" collapsed="false">
      <c r="A93" s="7" t="s">
        <v>115</v>
      </c>
      <c r="C93" s="43" t="n">
        <f aca="false">Historicos!$E$5</f>
        <v>3679.237</v>
      </c>
      <c r="D93" s="23" t="n">
        <f aca="false">C93*(1+D94)</f>
        <v>4194.33018</v>
      </c>
      <c r="E93" s="23" t="n">
        <f aca="false">D93*(1+E94)</f>
        <v>4781.5364052</v>
      </c>
      <c r="F93" s="23" t="n">
        <f aca="false">E93*(1+F94)</f>
        <v>5379.22845585</v>
      </c>
      <c r="G93" s="23" t="n">
        <f aca="false">F93*(1+G94)</f>
        <v>5917.151301435</v>
      </c>
      <c r="H93" s="23" t="n">
        <f aca="false">G93*(1+H94)</f>
        <v>6331.35189253545</v>
      </c>
    </row>
    <row r="94" customFormat="false" ht="15" hidden="false" customHeight="true" outlineLevel="0" collapsed="false">
      <c r="A94" s="7" t="s">
        <v>63</v>
      </c>
      <c r="C94" s="25" t="n">
        <f aca="false">Historicos!$E$103</f>
        <v>0.144607252963997</v>
      </c>
      <c r="D94" s="24" t="n">
        <f aca="false">Supuestos!D$36+Supuestos!$E$63</f>
        <v>0.14</v>
      </c>
      <c r="E94" s="24" t="n">
        <f aca="false">Supuestos!E$36+Supuestos!$E$63</f>
        <v>0.14</v>
      </c>
      <c r="F94" s="24" t="n">
        <f aca="false">Supuestos!F$36+Supuestos!$E$63</f>
        <v>0.125</v>
      </c>
      <c r="G94" s="24" t="n">
        <f aca="false">Supuestos!G$36+Supuestos!$E$63</f>
        <v>0.1</v>
      </c>
      <c r="H94" s="24" t="n">
        <f aca="false">Supuestos!H$36+Supuestos!$E$63</f>
        <v>0.07</v>
      </c>
    </row>
    <row r="95" customFormat="false" ht="15" hidden="false" customHeight="true" outlineLevel="0" collapsed="false">
      <c r="A95" s="7" t="s">
        <v>116</v>
      </c>
      <c r="C95" s="43" t="n">
        <f aca="false">Historicos!$E$6</f>
        <v>267.027</v>
      </c>
      <c r="D95" s="23" t="n">
        <f aca="false">D93*Supuestos!$C$45</f>
        <v>314.773150238733</v>
      </c>
      <c r="E95" s="23" t="n">
        <f aca="false">E93*Supuestos!$C$45</f>
        <v>358.841391272155</v>
      </c>
      <c r="F95" s="23" t="n">
        <f aca="false">F93*Supuestos!$C$45</f>
        <v>403.696565181175</v>
      </c>
      <c r="G95" s="23" t="n">
        <f aca="false">G93*Supuestos!$C$45</f>
        <v>444.066221699292</v>
      </c>
      <c r="H95" s="23" t="n">
        <f aca="false">H93*Supuestos!$C$45</f>
        <v>475.150857218243</v>
      </c>
    </row>
    <row r="96" customFormat="false" ht="15" hidden="false" customHeight="true" outlineLevel="0" collapsed="false">
      <c r="A96" s="6" t="s">
        <v>117</v>
      </c>
      <c r="C96" s="43" t="n">
        <f aca="false">Historicos!$E$7</f>
        <v>3946.264</v>
      </c>
      <c r="D96" s="22" t="n">
        <f aca="false">D93+D95</f>
        <v>4509.10333023873</v>
      </c>
      <c r="E96" s="22" t="n">
        <f aca="false">E93+E95</f>
        <v>5140.37779647216</v>
      </c>
      <c r="F96" s="22" t="n">
        <f aca="false">F93+F95</f>
        <v>5782.92502103118</v>
      </c>
      <c r="G96" s="22" t="n">
        <f aca="false">G93+G95</f>
        <v>6361.21752313429</v>
      </c>
      <c r="H96" s="22" t="n">
        <f aca="false">H93+H95</f>
        <v>6806.5027497537</v>
      </c>
    </row>
    <row r="97" customFormat="false" ht="15" hidden="false" customHeight="true" outlineLevel="0" collapsed="false">
      <c r="A97" s="7" t="s">
        <v>118</v>
      </c>
      <c r="C97" s="43" t="n">
        <f aca="false">Historicos!$E$8</f>
        <v>717.075</v>
      </c>
      <c r="D97" s="23" t="n">
        <f aca="false">D93*Supuestos!D$37</f>
        <v>838.866036</v>
      </c>
      <c r="E97" s="23" t="n">
        <f aca="false">E93*Supuestos!E$37</f>
        <v>956.30728104</v>
      </c>
      <c r="F97" s="23" t="n">
        <f aca="false">F93*Supuestos!F$37</f>
        <v>1075.84569117</v>
      </c>
      <c r="G97" s="23" t="n">
        <f aca="false">G93*Supuestos!G$37</f>
        <v>1183.430260287</v>
      </c>
      <c r="H97" s="23" t="n">
        <f aca="false">H93*Supuestos!H$37</f>
        <v>1266.27037850709</v>
      </c>
    </row>
    <row r="98" customFormat="false" ht="15" hidden="false" customHeight="true" outlineLevel="0" collapsed="false">
      <c r="A98" s="7" t="s">
        <v>119</v>
      </c>
      <c r="C98" s="43" t="n">
        <f aca="false">Historicos!$E$9</f>
        <v>640.225</v>
      </c>
      <c r="D98" s="23" t="n">
        <f aca="false">D95*Supuestos!D$38</f>
        <v>755.455560572958</v>
      </c>
      <c r="E98" s="23" t="n">
        <f aca="false">E95*Supuestos!E$38</f>
        <v>861.219339053173</v>
      </c>
      <c r="F98" s="23" t="n">
        <f aca="false">F95*Supuestos!F$38</f>
        <v>968.871756434819</v>
      </c>
      <c r="G98" s="23" t="n">
        <f aca="false">G95*Supuestos!G$38</f>
        <v>1065.7589320783</v>
      </c>
      <c r="H98" s="23" t="n">
        <f aca="false">H95*Supuestos!H$38</f>
        <v>1140.36205732378</v>
      </c>
    </row>
    <row r="99" customFormat="false" ht="15" hidden="false" customHeight="true" outlineLevel="0" collapsed="false">
      <c r="A99" s="7" t="s">
        <v>402</v>
      </c>
      <c r="C99" s="43" t="n">
        <f aca="false">Historicos!$E$10</f>
        <v>1555.639</v>
      </c>
      <c r="D99" s="23" t="n">
        <f aca="false">D96*(Supuestos!D$39+Supuestos!$E$64)</f>
        <v>1893.82339870027</v>
      </c>
      <c r="E99" s="23" t="n">
        <f aca="false">E96*(Supuestos!E$39+Supuestos!$E$64)</f>
        <v>2158.95867451831</v>
      </c>
      <c r="F99" s="23" t="n">
        <f aca="false">F96*(Supuestos!F$39+Supuestos!$E$64)</f>
        <v>2428.82850883309</v>
      </c>
      <c r="G99" s="23" t="n">
        <f aca="false">G96*(Supuestos!G$39+Supuestos!$E$64)</f>
        <v>2671.7113597164</v>
      </c>
      <c r="H99" s="23" t="n">
        <f aca="false">H96*(Supuestos!H$39+Supuestos!$E$64)</f>
        <v>2858.73115489655</v>
      </c>
    </row>
    <row r="100" customFormat="false" ht="15" hidden="false" customHeight="true" outlineLevel="0" collapsed="false">
      <c r="A100" s="6" t="s">
        <v>121</v>
      </c>
      <c r="C100" s="43" t="n">
        <f aca="false">Historicos!$E$11</f>
        <v>1033.325</v>
      </c>
      <c r="D100" s="22" t="n">
        <f aca="false">D96-D97-D98-D99</f>
        <v>1020.95833496551</v>
      </c>
      <c r="E100" s="22" t="n">
        <f aca="false">E96-E97-E98-E99</f>
        <v>1163.89250186068</v>
      </c>
      <c r="F100" s="22" t="n">
        <f aca="false">F96-F97-F98-F99</f>
        <v>1309.37906459326</v>
      </c>
      <c r="G100" s="22" t="n">
        <f aca="false">G96-G97-G98-G99</f>
        <v>1440.31697105259</v>
      </c>
      <c r="H100" s="22" t="n">
        <f aca="false">H96-H97-H98-H99</f>
        <v>1541.13915902627</v>
      </c>
    </row>
    <row r="101" customFormat="false" ht="15" hidden="false" customHeight="true" outlineLevel="0" collapsed="false">
      <c r="A101" s="7" t="s">
        <v>208</v>
      </c>
      <c r="C101" s="24" t="n">
        <f aca="false">C100/C96</f>
        <v>0.261848928505544</v>
      </c>
      <c r="D101" s="24" t="n">
        <f aca="false">D100/D96</f>
        <v>0.226421587662186</v>
      </c>
      <c r="E101" s="24" t="n">
        <f aca="false">E100/E96</f>
        <v>0.226421587662187</v>
      </c>
      <c r="F101" s="24" t="n">
        <f aca="false">F100/F96</f>
        <v>0.226421587662187</v>
      </c>
      <c r="G101" s="24" t="n">
        <f aca="false">G100/G96</f>
        <v>0.226421587662187</v>
      </c>
      <c r="H101" s="24" t="n">
        <f aca="false">H100/H96</f>
        <v>0.226421587662187</v>
      </c>
    </row>
    <row r="102" customFormat="false" ht="15" hidden="false" customHeight="true" outlineLevel="0" collapsed="false">
      <c r="A102" s="7" t="s">
        <v>69</v>
      </c>
      <c r="C102" s="43" t="n">
        <f aca="false">Historicos!$E$12</f>
        <v>582.269</v>
      </c>
      <c r="D102" s="23" t="n">
        <f aca="false">D96*Supuestos!D$42</f>
        <v>705.229319748866</v>
      </c>
      <c r="E102" s="23" t="n">
        <f aca="false">E96*Supuestos!E$42</f>
        <v>803.961424513707</v>
      </c>
      <c r="F102" s="23" t="n">
        <f aca="false">F96*Supuestos!F$42</f>
        <v>867.438753154676</v>
      </c>
      <c r="G102" s="23" t="n">
        <f aca="false">G96*Supuestos!G$42</f>
        <v>922.376540854473</v>
      </c>
      <c r="H102" s="23" t="n">
        <f aca="false">H96*Supuestos!H$42</f>
        <v>952.910384965518</v>
      </c>
    </row>
    <row r="103" customFormat="false" ht="15" hidden="false" customHeight="true" outlineLevel="0" collapsed="false">
      <c r="A103" s="7" t="s">
        <v>298</v>
      </c>
      <c r="C103" s="43" t="n">
        <f aca="false">Historicos!$E$13</f>
        <v>451.056000000001</v>
      </c>
      <c r="D103" s="23" t="n">
        <f aca="false">D100-D102</f>
        <v>315.72901521664</v>
      </c>
      <c r="E103" s="23" t="n">
        <f aca="false">E100-E102</f>
        <v>359.931077346971</v>
      </c>
      <c r="F103" s="23" t="n">
        <f aca="false">F100-F102</f>
        <v>441.940311438586</v>
      </c>
      <c r="G103" s="23" t="n">
        <f aca="false">G100-G102</f>
        <v>517.940430198117</v>
      </c>
      <c r="H103" s="23" t="n">
        <f aca="false">H100-H102</f>
        <v>588.228774060752</v>
      </c>
    </row>
    <row r="104" customFormat="false" ht="15" hidden="false" customHeight="true" outlineLevel="0" collapsed="false">
      <c r="A104" s="7" t="s">
        <v>403</v>
      </c>
      <c r="D104" s="23" t="n">
        <f aca="false">D103*Supuestos!$C$6</f>
        <v>126.291606086656</v>
      </c>
      <c r="E104" s="23" t="n">
        <f aca="false">E103*Supuestos!$C$6</f>
        <v>143.972430938789</v>
      </c>
      <c r="F104" s="23" t="n">
        <f aca="false">F103*Supuestos!$C$6</f>
        <v>176.776124575435</v>
      </c>
      <c r="G104" s="23" t="n">
        <f aca="false">G103*Supuestos!$C$6</f>
        <v>207.176172079247</v>
      </c>
      <c r="H104" s="23" t="n">
        <f aca="false">H103*Supuestos!$C$6</f>
        <v>235.291509624301</v>
      </c>
    </row>
    <row r="105" customFormat="false" ht="15" hidden="false" customHeight="true" outlineLevel="0" collapsed="false">
      <c r="A105" s="6" t="s">
        <v>404</v>
      </c>
      <c r="D105" s="22" t="n">
        <f aca="false">D103-D104</f>
        <v>189.437409129984</v>
      </c>
      <c r="E105" s="22" t="n">
        <f aca="false">E103-E104</f>
        <v>215.958646408183</v>
      </c>
      <c r="F105" s="22" t="n">
        <f aca="false">F103-F104</f>
        <v>265.164186863152</v>
      </c>
      <c r="G105" s="22" t="n">
        <f aca="false">G103-G104</f>
        <v>310.76425811887</v>
      </c>
      <c r="H105" s="22" t="n">
        <f aca="false">H103-H104</f>
        <v>352.937264436451</v>
      </c>
      <c r="I105" s="23" t="n">
        <f aca="false">H105*(1+H122)</f>
        <v>362.701942236393</v>
      </c>
    </row>
    <row r="106" customFormat="false" ht="15" hidden="false" customHeight="true" outlineLevel="0" collapsed="false">
      <c r="A106" s="7" t="s">
        <v>405</v>
      </c>
      <c r="C106" s="23" t="n">
        <f aca="false">C97+C98+C99</f>
        <v>2912.939</v>
      </c>
      <c r="D106" s="23" t="n">
        <f aca="false">D97+D98+D99</f>
        <v>3488.14499527323</v>
      </c>
      <c r="E106" s="23" t="n">
        <f aca="false">E97+E98+E99</f>
        <v>3976.48529461148</v>
      </c>
      <c r="F106" s="23" t="n">
        <f aca="false">F97+F98+F99</f>
        <v>4473.54595643791</v>
      </c>
      <c r="G106" s="23" t="n">
        <f aca="false">G97+G98+G99</f>
        <v>4920.90055208171</v>
      </c>
      <c r="H106" s="23" t="n">
        <f aca="false">H97+H98+H99</f>
        <v>5265.36359072743</v>
      </c>
    </row>
    <row r="107" customFormat="false" ht="15" hidden="false" customHeight="true" outlineLevel="0" collapsed="false">
      <c r="A107" s="7" t="s">
        <v>144</v>
      </c>
      <c r="C107" s="43" t="n">
        <f aca="false">Historicos!$E$37</f>
        <v>435.497</v>
      </c>
      <c r="D107" s="23" t="n">
        <f aca="false">D96*Supuestos!$C$46/360</f>
        <v>521.895126277519</v>
      </c>
      <c r="E107" s="23" t="n">
        <f aca="false">E96*Supuestos!$C$46/360</f>
        <v>594.960443956372</v>
      </c>
      <c r="F107" s="23" t="n">
        <f aca="false">F96*Supuestos!$C$46/360</f>
        <v>669.330499450918</v>
      </c>
      <c r="G107" s="23" t="n">
        <f aca="false">G96*Supuestos!$C$46/360</f>
        <v>736.26354939601</v>
      </c>
      <c r="H107" s="23" t="n">
        <f aca="false">H96*Supuestos!$C$46/360</f>
        <v>787.801997853731</v>
      </c>
    </row>
    <row r="108" customFormat="false" ht="15" hidden="false" customHeight="true" outlineLevel="0" collapsed="false">
      <c r="A108" s="7" t="s">
        <v>145</v>
      </c>
      <c r="C108" s="43" t="n">
        <f aca="false">Historicos!$E$38</f>
        <v>100.99</v>
      </c>
      <c r="D108" s="23" t="n">
        <f aca="false">D95*Supuestos!$C$47/360</f>
        <v>134.967917493034</v>
      </c>
      <c r="E108" s="23" t="n">
        <f aca="false">E95*Supuestos!$C$47/360</f>
        <v>153.863425942058</v>
      </c>
      <c r="F108" s="23" t="n">
        <f aca="false">F95*Supuestos!$C$47/360</f>
        <v>173.096354184816</v>
      </c>
      <c r="G108" s="23" t="n">
        <f aca="false">G95*Supuestos!$C$47/360</f>
        <v>190.405989603297</v>
      </c>
      <c r="H108" s="23" t="n">
        <f aca="false">H95*Supuestos!$C$47/360</f>
        <v>203.734408875528</v>
      </c>
    </row>
    <row r="109" customFormat="false" ht="15" hidden="false" customHeight="true" outlineLevel="0" collapsed="false">
      <c r="A109" s="7" t="s">
        <v>146</v>
      </c>
      <c r="C109" s="43" t="n">
        <f aca="false">Historicos!$E$39</f>
        <v>41.588</v>
      </c>
      <c r="D109" s="23" t="n">
        <f aca="false">D106*Supuestos!$C$48</f>
        <v>48.1599492428879</v>
      </c>
      <c r="E109" s="23" t="n">
        <f aca="false">E106*Supuestos!$C$48</f>
        <v>54.9023421368923</v>
      </c>
      <c r="F109" s="23" t="n">
        <f aca="false">F106*Supuestos!$C$48</f>
        <v>61.7651349040038</v>
      </c>
      <c r="G109" s="23" t="n">
        <f aca="false">G106*Supuestos!$C$48</f>
        <v>67.9416483944042</v>
      </c>
      <c r="H109" s="23" t="n">
        <f aca="false">H106*Supuestos!$C$48</f>
        <v>72.6975637820125</v>
      </c>
    </row>
    <row r="110" customFormat="false" ht="15" hidden="false" customHeight="true" outlineLevel="0" collapsed="false">
      <c r="A110" s="7" t="s">
        <v>159</v>
      </c>
      <c r="C110" s="43" t="n">
        <f aca="false">Historicos!$E$52</f>
        <v>260.791</v>
      </c>
      <c r="D110" s="23" t="n">
        <f aca="false">D106*Supuestos!$C$49/360</f>
        <v>344.323413916532</v>
      </c>
      <c r="E110" s="23" t="n">
        <f aca="false">E106*Supuestos!$C$49/360</f>
        <v>392.528691864847</v>
      </c>
      <c r="F110" s="23" t="n">
        <f aca="false">F106*Supuestos!$C$49/360</f>
        <v>441.594778347952</v>
      </c>
      <c r="G110" s="23" t="n">
        <f aca="false">G106*Supuestos!$C$49/360</f>
        <v>485.754256182748</v>
      </c>
      <c r="H110" s="23" t="n">
        <f aca="false">H106*Supuestos!$C$49/360</f>
        <v>519.75705411554</v>
      </c>
    </row>
    <row r="111" customFormat="false" ht="15" hidden="false" customHeight="true" outlineLevel="0" collapsed="false">
      <c r="A111" s="7" t="s">
        <v>406</v>
      </c>
      <c r="C111" s="43" t="n">
        <f aca="false">Historicos!$E$53</f>
        <v>143.445</v>
      </c>
      <c r="D111" s="23" t="n">
        <f aca="false">D93*Supuestos!$C$50/360</f>
        <v>163.25424736171</v>
      </c>
      <c r="E111" s="23" t="n">
        <f aca="false">E93*Supuestos!$C$50/360</f>
        <v>186.10984199235</v>
      </c>
      <c r="F111" s="23" t="n">
        <f aca="false">F93*Supuestos!$C$50/360</f>
        <v>209.373572241393</v>
      </c>
      <c r="G111" s="23" t="n">
        <f aca="false">G93*Supuestos!$C$50/360</f>
        <v>230.310929465533</v>
      </c>
      <c r="H111" s="23" t="n">
        <f aca="false">H93*Supuestos!$C$50/360</f>
        <v>246.43269452812</v>
      </c>
    </row>
    <row r="112" customFormat="false" ht="15" hidden="false" customHeight="true" outlineLevel="0" collapsed="false">
      <c r="A112" s="7" t="s">
        <v>161</v>
      </c>
      <c r="C112" s="43" t="n">
        <f aca="false">Historicos!$E$54</f>
        <v>59.224</v>
      </c>
      <c r="D112" s="23" t="n">
        <f aca="false">D106*Supuestos!$C$51/360</f>
        <v>66.3237662736644</v>
      </c>
      <c r="E112" s="23" t="n">
        <f aca="false">E106*Supuestos!$C$51/360</f>
        <v>75.6090935519774</v>
      </c>
      <c r="F112" s="23" t="n">
        <f aca="false">F106*Supuestos!$C$51/360</f>
        <v>85.0602302459746</v>
      </c>
      <c r="G112" s="23" t="n">
        <f aca="false">G106*Supuestos!$C$51/360</f>
        <v>93.5662532705721</v>
      </c>
      <c r="H112" s="23" t="n">
        <f aca="false">H106*Supuestos!$C$51/360</f>
        <v>100.115890999512</v>
      </c>
    </row>
    <row r="113" customFormat="false" ht="15" hidden="false" customHeight="true" outlineLevel="0" collapsed="false">
      <c r="A113" s="7" t="s">
        <v>407</v>
      </c>
      <c r="C113" s="23" t="n">
        <f aca="false">C107+C108+C109-C110-C111-C112</f>
        <v>114.615</v>
      </c>
      <c r="D113" s="23" t="n">
        <f aca="false">D107+D108+D109-D110-D111-D112</f>
        <v>131.121565461534</v>
      </c>
      <c r="E113" s="23" t="n">
        <f aca="false">E107+E108+E109-E110-E111-E112</f>
        <v>149.478584626149</v>
      </c>
      <c r="F113" s="23" t="n">
        <f aca="false">F107+F108+F109-F110-F111-F112</f>
        <v>168.163407704417</v>
      </c>
      <c r="G113" s="23" t="n">
        <f aca="false">G107+G108+G109-G110-G111-G112</f>
        <v>184.979748474859</v>
      </c>
      <c r="H113" s="23" t="n">
        <f aca="false">H107+H108+H109-H110-H111-H112</f>
        <v>197.9283308681</v>
      </c>
    </row>
    <row r="114" customFormat="false" ht="15" hidden="false" customHeight="true" outlineLevel="0" collapsed="false">
      <c r="A114" s="7" t="s">
        <v>408</v>
      </c>
      <c r="D114" s="23" t="n">
        <f aca="false">D113-C113</f>
        <v>16.5065654615341</v>
      </c>
      <c r="E114" s="23" t="n">
        <f aca="false">E113-D113</f>
        <v>18.3570191646149</v>
      </c>
      <c r="F114" s="23" t="n">
        <f aca="false">F113-E113</f>
        <v>18.6848230782686</v>
      </c>
      <c r="G114" s="23" t="n">
        <f aca="false">G113-F113</f>
        <v>16.8163407704418</v>
      </c>
      <c r="H114" s="23" t="n">
        <f aca="false">H113-G113</f>
        <v>12.9485823932403</v>
      </c>
    </row>
    <row r="115" customFormat="false" ht="15" hidden="false" customHeight="true" outlineLevel="0" collapsed="false">
      <c r="A115" s="7" t="s">
        <v>409</v>
      </c>
      <c r="D115" s="23" t="n">
        <f aca="false">D96*(Supuestos!D$41+Supuestos!$E$65)</f>
        <v>631.274466233423</v>
      </c>
      <c r="E115" s="23" t="n">
        <f aca="false">E96*(Supuestos!E$41+Supuestos!$E$65)</f>
        <v>719.652891506102</v>
      </c>
      <c r="F115" s="23" t="n">
        <f aca="false">F96*(Supuestos!F$41+Supuestos!$E$65)</f>
        <v>867.438753154676</v>
      </c>
      <c r="G115" s="23" t="n">
        <f aca="false">G96*(Supuestos!G$41+Supuestos!$E$65)</f>
        <v>970.08567227798</v>
      </c>
      <c r="H115" s="23" t="n">
        <f aca="false">H96*(Supuestos!H$41+Supuestos!$E$65)</f>
        <v>1055.00792621182</v>
      </c>
    </row>
    <row r="116" customFormat="false" ht="15" hidden="false" customHeight="true" outlineLevel="0" collapsed="false">
      <c r="A116" s="6" t="s">
        <v>410</v>
      </c>
      <c r="D116" s="22" t="n">
        <f aca="false">D105+D102-D115-D114</f>
        <v>246.885697183893</v>
      </c>
      <c r="E116" s="22" t="n">
        <f aca="false">E105+E102-E115-E114</f>
        <v>281.910160251173</v>
      </c>
      <c r="F116" s="22" t="n">
        <f aca="false">F105+F102-F115-F114</f>
        <v>246.479363784883</v>
      </c>
      <c r="G116" s="22" t="n">
        <f aca="false">G105+G102-G115-G114</f>
        <v>246.238785924921</v>
      </c>
      <c r="H116" s="22" t="n">
        <f aca="false">H105+H102-H115-H114</f>
        <v>237.891140796906</v>
      </c>
      <c r="I116" s="22" t="n">
        <f aca="false">I105*(1-H123)</f>
        <v>244.472849716341</v>
      </c>
    </row>
    <row r="117" customFormat="false" ht="15" hidden="false" customHeight="true" outlineLevel="0" collapsed="false">
      <c r="A117" s="7" t="s">
        <v>411</v>
      </c>
      <c r="C117" s="43" t="n">
        <f aca="false">Historicos!$E$90+Historicos!$E$62+Historicos!$E$57</f>
        <v>4198.449</v>
      </c>
      <c r="D117" s="23" t="n">
        <f aca="false">C117+D115-D102+D114</f>
        <v>4141.00071194609</v>
      </c>
      <c r="E117" s="23" t="n">
        <f aca="false">D117+E115-E102+E114</f>
        <v>4075.0491981031</v>
      </c>
      <c r="F117" s="23" t="n">
        <f aca="false">E117+F115-F102+F114</f>
        <v>4093.73402118137</v>
      </c>
      <c r="G117" s="23" t="n">
        <f aca="false">F117+G115-G102+G114</f>
        <v>4158.25949337532</v>
      </c>
      <c r="H117" s="23" t="n">
        <f aca="false">G117+H115-H102+H114</f>
        <v>4273.30561701486</v>
      </c>
    </row>
    <row r="118" customFormat="false" ht="15" hidden="false" customHeight="true" outlineLevel="0" collapsed="false">
      <c r="A118" s="7" t="s">
        <v>412</v>
      </c>
      <c r="D118" s="24" t="n">
        <f aca="false">D105/C117</f>
        <v>0.0451208075005756</v>
      </c>
      <c r="E118" s="24" t="n">
        <f aca="false">E105/D117</f>
        <v>0.0521513183480453</v>
      </c>
      <c r="F118" s="24" t="n">
        <f aca="false">F105/E117</f>
        <v>0.0650701804990682</v>
      </c>
      <c r="G118" s="24" t="n">
        <f aca="false">G105/F117</f>
        <v>0.075912176147973</v>
      </c>
      <c r="H118" s="24" t="n">
        <f aca="false">H105/G117</f>
        <v>0.0848762000059711</v>
      </c>
    </row>
    <row r="119" customFormat="false" ht="15" hidden="false" customHeight="true" outlineLevel="0" collapsed="false">
      <c r="A119" s="7" t="s">
        <v>413</v>
      </c>
      <c r="D119" s="24" t="n">
        <f aca="false">(D115-D102+D114)/D105</f>
        <v>-0.303257357233442</v>
      </c>
      <c r="E119" s="24" t="n">
        <f aca="false">(E115-E102+E114)/E105</f>
        <v>-0.305389549989748</v>
      </c>
      <c r="F119" s="24" t="n">
        <f aca="false">(F115-F102+F114)/F105</f>
        <v>0.0704651080498727</v>
      </c>
      <c r="G119" s="24" t="n">
        <f aca="false">(G115-G102+G114)/G105</f>
        <v>0.207634792316648</v>
      </c>
      <c r="H119" s="24" t="n">
        <f aca="false">(H115-H102+H114)/H105</f>
        <v>0.32596763003545</v>
      </c>
    </row>
    <row r="121" customFormat="false" ht="15" hidden="false" customHeight="true" outlineLevel="0" collapsed="false">
      <c r="A121" s="7" t="s">
        <v>414</v>
      </c>
      <c r="H121" s="10" t="n">
        <f aca="false">H118*H119</f>
        <v>0.0276668937623613</v>
      </c>
    </row>
    <row r="122" customFormat="false" ht="15" hidden="false" customHeight="true" outlineLevel="0" collapsed="false">
      <c r="A122" s="6" t="s">
        <v>415</v>
      </c>
      <c r="H122" s="46" t="n">
        <f aca="false">IF(Supuestos!$C$24=1,H121,Supuestos!$C$25)</f>
        <v>0.0276668937623613</v>
      </c>
    </row>
    <row r="123" customFormat="false" ht="15" hidden="false" customHeight="true" outlineLevel="0" collapsed="false">
      <c r="A123" s="7" t="s">
        <v>416</v>
      </c>
      <c r="H123" s="24" t="n">
        <f aca="false">H122/H118</f>
        <v>0.32596763003545</v>
      </c>
    </row>
    <row r="124" customFormat="false" ht="15" hidden="false" customHeight="true" outlineLevel="0" collapsed="false">
      <c r="A124" s="7" t="s">
        <v>417</v>
      </c>
      <c r="H124" s="23" t="n">
        <f aca="false">I116/(Costo_Capital!$C$16-H122)</f>
        <v>5042.3530656723</v>
      </c>
    </row>
    <row r="125" customFormat="false" ht="15" hidden="false" customHeight="true" outlineLevel="0" collapsed="false">
      <c r="A125" s="7" t="s">
        <v>418</v>
      </c>
      <c r="H125" s="23" t="n">
        <f aca="false">H100*IF(Supuestos!$C$26=1,Comparables!$P$11,Comparables!$P$13)</f>
        <v>15925.2581499683</v>
      </c>
    </row>
    <row r="126" customFormat="false" ht="15" hidden="false" customHeight="true" outlineLevel="0" collapsed="false">
      <c r="A126" s="7" t="s">
        <v>419</v>
      </c>
      <c r="H126" s="23" t="n">
        <f aca="false">NPV(Costo_Capital!$C$10,D116:H116)</f>
        <v>1002.75062637822</v>
      </c>
    </row>
    <row r="127" customFormat="false" ht="15" hidden="false" customHeight="true" outlineLevel="0" collapsed="false">
      <c r="A127" s="7" t="s">
        <v>420</v>
      </c>
      <c r="H127" s="23" t="n">
        <f aca="false">H124/(1+Costo_Capital!$C$10)^5</f>
        <v>3394.84417226594</v>
      </c>
    </row>
    <row r="128" customFormat="false" ht="15" hidden="false" customHeight="true" outlineLevel="0" collapsed="false">
      <c r="A128" s="7" t="s">
        <v>421</v>
      </c>
      <c r="H128" s="23" t="n">
        <f aca="false">NPV(Supuestos!$C$7,Deuda!$L$13:$P$13)</f>
        <v>284.783121267308</v>
      </c>
    </row>
    <row r="129" customFormat="false" ht="15" hidden="false" customHeight="true" outlineLevel="0" collapsed="false">
      <c r="A129" s="6" t="s">
        <v>422</v>
      </c>
      <c r="H129" s="22" t="n">
        <f aca="false">H126+H127+H128</f>
        <v>4682.37791991147</v>
      </c>
    </row>
    <row r="130" customFormat="false" ht="15" hidden="false" customHeight="true" outlineLevel="0" collapsed="false">
      <c r="A130" s="7" t="s">
        <v>423</v>
      </c>
      <c r="H130" s="23" t="n">
        <f aca="false">Valoracion!$C$20</f>
        <v>1944.487135</v>
      </c>
    </row>
    <row r="131" customFormat="false" ht="15" hidden="false" customHeight="true" outlineLevel="0" collapsed="false">
      <c r="A131" s="7" t="s">
        <v>424</v>
      </c>
      <c r="H131" s="23" t="n">
        <f aca="false">Valoracion!$C$26</f>
        <v>1289.78732</v>
      </c>
    </row>
    <row r="132" customFormat="false" ht="15" hidden="false" customHeight="true" outlineLevel="0" collapsed="false">
      <c r="A132" s="6" t="s">
        <v>425</v>
      </c>
      <c r="H132" s="22" t="n">
        <f aca="false">H129+H130-H131</f>
        <v>5337.07773491147</v>
      </c>
    </row>
    <row r="135" customFormat="false" ht="15" hidden="false" customHeight="true" outlineLevel="0" collapsed="false">
      <c r="A135" s="4" t="s">
        <v>554</v>
      </c>
      <c r="B135" s="5"/>
      <c r="C135" s="5"/>
      <c r="D135" s="5"/>
      <c r="E135" s="5"/>
      <c r="F135" s="5"/>
      <c r="G135" s="5"/>
      <c r="H135" s="5"/>
      <c r="I135" s="5"/>
      <c r="J135" s="5"/>
    </row>
    <row r="136" customFormat="false" ht="15" hidden="false" customHeight="true" outlineLevel="0" collapsed="false">
      <c r="A136" s="6" t="s">
        <v>57</v>
      </c>
      <c r="C136" s="6" t="s">
        <v>400</v>
      </c>
      <c r="D136" s="6" t="s">
        <v>58</v>
      </c>
      <c r="E136" s="6" t="s">
        <v>59</v>
      </c>
      <c r="F136" s="6" t="s">
        <v>60</v>
      </c>
      <c r="G136" s="6" t="s">
        <v>61</v>
      </c>
      <c r="H136" s="6" t="s">
        <v>62</v>
      </c>
      <c r="I136" s="6" t="s">
        <v>401</v>
      </c>
    </row>
    <row r="137" customFormat="false" ht="15" hidden="false" customHeight="true" outlineLevel="0" collapsed="false">
      <c r="A137" s="7" t="s">
        <v>115</v>
      </c>
      <c r="C137" s="43" t="n">
        <f aca="false">Historicos!$E$5</f>
        <v>3679.237</v>
      </c>
      <c r="D137" s="23" t="n">
        <f aca="false">C137*(1+D138)</f>
        <v>4083.95307</v>
      </c>
      <c r="E137" s="23" t="n">
        <f aca="false">D137*(1+E138)</f>
        <v>4533.1879077</v>
      </c>
      <c r="F137" s="23" t="n">
        <f aca="false">E137*(1+F138)</f>
        <v>4963.8407589315</v>
      </c>
      <c r="G137" s="23" t="n">
        <f aca="false">F137*(1+G138)</f>
        <v>5311.30961205671</v>
      </c>
      <c r="H137" s="23" t="n">
        <f aca="false">G137*(1+H138)</f>
        <v>5523.76199653898</v>
      </c>
    </row>
    <row r="138" customFormat="false" ht="15" hidden="false" customHeight="true" outlineLevel="0" collapsed="false">
      <c r="A138" s="7" t="s">
        <v>63</v>
      </c>
      <c r="C138" s="25" t="n">
        <f aca="false">Historicos!$E$103</f>
        <v>0.144607252963997</v>
      </c>
      <c r="D138" s="24" t="n">
        <f aca="false">Supuestos!D$36+Supuestos!$F$63</f>
        <v>0.11</v>
      </c>
      <c r="E138" s="24" t="n">
        <f aca="false">Supuestos!E$36+Supuestos!$F$63</f>
        <v>0.11</v>
      </c>
      <c r="F138" s="24" t="n">
        <f aca="false">Supuestos!F$36+Supuestos!$F$63</f>
        <v>0.095</v>
      </c>
      <c r="G138" s="24" t="n">
        <f aca="false">Supuestos!G$36+Supuestos!$F$63</f>
        <v>0.07</v>
      </c>
      <c r="H138" s="24" t="n">
        <f aca="false">Supuestos!H$36+Supuestos!$F$63</f>
        <v>0.04</v>
      </c>
    </row>
    <row r="139" customFormat="false" ht="15" hidden="false" customHeight="true" outlineLevel="0" collapsed="false">
      <c r="A139" s="7" t="s">
        <v>116</v>
      </c>
      <c r="C139" s="43" t="n">
        <f aca="false">Historicos!$E$6</f>
        <v>267.027</v>
      </c>
      <c r="D139" s="23" t="n">
        <f aca="false">D137*Supuestos!$C$45</f>
        <v>306.489646285082</v>
      </c>
      <c r="E139" s="23" t="n">
        <f aca="false">E137*Supuestos!$C$45</f>
        <v>340.203507376441</v>
      </c>
      <c r="F139" s="23" t="n">
        <f aca="false">F137*Supuestos!$C$45</f>
        <v>372.522840577203</v>
      </c>
      <c r="G139" s="23" t="n">
        <f aca="false">G137*Supuestos!$C$45</f>
        <v>398.599439417607</v>
      </c>
      <c r="H139" s="23" t="n">
        <f aca="false">H137*Supuestos!$C$45</f>
        <v>414.543416994311</v>
      </c>
    </row>
    <row r="140" customFormat="false" ht="15" hidden="false" customHeight="true" outlineLevel="0" collapsed="false">
      <c r="A140" s="6" t="s">
        <v>117</v>
      </c>
      <c r="C140" s="43" t="n">
        <f aca="false">Historicos!$E$7</f>
        <v>3946.264</v>
      </c>
      <c r="D140" s="22" t="n">
        <f aca="false">D137+D139</f>
        <v>4390.44271628508</v>
      </c>
      <c r="E140" s="22" t="n">
        <f aca="false">E137+E139</f>
        <v>4873.39141507644</v>
      </c>
      <c r="F140" s="22" t="n">
        <f aca="false">F137+F139</f>
        <v>5336.3635995087</v>
      </c>
      <c r="G140" s="22" t="n">
        <f aca="false">G137+G139</f>
        <v>5709.90905147431</v>
      </c>
      <c r="H140" s="22" t="n">
        <f aca="false">H137+H139</f>
        <v>5938.30541353329</v>
      </c>
    </row>
    <row r="141" customFormat="false" ht="15" hidden="false" customHeight="true" outlineLevel="0" collapsed="false">
      <c r="A141" s="7" t="s">
        <v>118</v>
      </c>
      <c r="C141" s="43" t="n">
        <f aca="false">Historicos!$E$8</f>
        <v>717.075</v>
      </c>
      <c r="D141" s="23" t="n">
        <f aca="false">D137*Supuestos!D$37</f>
        <v>816.790614</v>
      </c>
      <c r="E141" s="23" t="n">
        <f aca="false">E137*Supuestos!E$37</f>
        <v>906.63758154</v>
      </c>
      <c r="F141" s="23" t="n">
        <f aca="false">F137*Supuestos!F$37</f>
        <v>992.7681517863</v>
      </c>
      <c r="G141" s="23" t="n">
        <f aca="false">G137*Supuestos!G$37</f>
        <v>1062.26192241134</v>
      </c>
      <c r="H141" s="23" t="n">
        <f aca="false">H137*Supuestos!H$37</f>
        <v>1104.7523993078</v>
      </c>
    </row>
    <row r="142" customFormat="false" ht="15" hidden="false" customHeight="true" outlineLevel="0" collapsed="false">
      <c r="A142" s="7" t="s">
        <v>119</v>
      </c>
      <c r="C142" s="43" t="n">
        <f aca="false">Historicos!$E$9</f>
        <v>640.225</v>
      </c>
      <c r="D142" s="23" t="n">
        <f aca="false">D139*Supuestos!D$38</f>
        <v>735.575151084196</v>
      </c>
      <c r="E142" s="23" t="n">
        <f aca="false">E139*Supuestos!E$38</f>
        <v>816.488417703458</v>
      </c>
      <c r="F142" s="23" t="n">
        <f aca="false">F139*Supuestos!F$38</f>
        <v>894.054817385286</v>
      </c>
      <c r="G142" s="23" t="n">
        <f aca="false">G139*Supuestos!G$38</f>
        <v>956.638654602256</v>
      </c>
      <c r="H142" s="23" t="n">
        <f aca="false">H139*Supuestos!H$38</f>
        <v>994.904200786347</v>
      </c>
    </row>
    <row r="143" customFormat="false" ht="15" hidden="false" customHeight="true" outlineLevel="0" collapsed="false">
      <c r="A143" s="7" t="s">
        <v>402</v>
      </c>
      <c r="C143" s="43" t="n">
        <f aca="false">Historicos!$E$10</f>
        <v>1555.639</v>
      </c>
      <c r="D143" s="23" t="n">
        <f aca="false">D140*(Supuestos!D$39+Supuestos!$F$64)</f>
        <v>1843.98594083974</v>
      </c>
      <c r="E143" s="23" t="n">
        <f aca="false">E140*(Supuestos!E$39+Supuestos!$F$64)</f>
        <v>2046.82439433211</v>
      </c>
      <c r="F143" s="23" t="n">
        <f aca="false">F140*(Supuestos!F$39+Supuestos!$F$64)</f>
        <v>2241.27271179366</v>
      </c>
      <c r="G143" s="23" t="n">
        <f aca="false">G140*(Supuestos!G$39+Supuestos!$F$64)</f>
        <v>2398.16180161921</v>
      </c>
      <c r="H143" s="23" t="n">
        <f aca="false">H140*(Supuestos!H$39+Supuestos!$F$64)</f>
        <v>2494.08827368398</v>
      </c>
    </row>
    <row r="144" customFormat="false" ht="15" hidden="false" customHeight="true" outlineLevel="0" collapsed="false">
      <c r="A144" s="6" t="s">
        <v>121</v>
      </c>
      <c r="C144" s="43" t="n">
        <f aca="false">Historicos!$E$11</f>
        <v>1033.325</v>
      </c>
      <c r="D144" s="22" t="n">
        <f aca="false">D140-D141-D142-D143</f>
        <v>994.091010361152</v>
      </c>
      <c r="E144" s="22" t="n">
        <f aca="false">E140-E141-E142-E143</f>
        <v>1103.44102150088</v>
      </c>
      <c r="F144" s="22" t="n">
        <f aca="false">F140-F141-F142-F143</f>
        <v>1208.26791854346</v>
      </c>
      <c r="G144" s="22" t="n">
        <f aca="false">G140-G141-G142-G143</f>
        <v>1292.8466728415</v>
      </c>
      <c r="H144" s="22" t="n">
        <f aca="false">H140-H141-H142-H143</f>
        <v>1344.56053975516</v>
      </c>
    </row>
    <row r="145" customFormat="false" ht="15" hidden="false" customHeight="true" outlineLevel="0" collapsed="false">
      <c r="A145" s="7" t="s">
        <v>208</v>
      </c>
      <c r="C145" s="24" t="n">
        <f aca="false">C144/C140</f>
        <v>0.261848928505544</v>
      </c>
      <c r="D145" s="24" t="n">
        <f aca="false">D144/D140</f>
        <v>0.226421587662187</v>
      </c>
      <c r="E145" s="24" t="n">
        <f aca="false">E144/E140</f>
        <v>0.226421587662187</v>
      </c>
      <c r="F145" s="24" t="n">
        <f aca="false">F144/F140</f>
        <v>0.226421587662187</v>
      </c>
      <c r="G145" s="24" t="n">
        <f aca="false">G144/G140</f>
        <v>0.226421587662187</v>
      </c>
      <c r="H145" s="24" t="n">
        <f aca="false">H144/H140</f>
        <v>0.226421587662187</v>
      </c>
    </row>
    <row r="146" customFormat="false" ht="15" hidden="false" customHeight="true" outlineLevel="0" collapsed="false">
      <c r="A146" s="7" t="s">
        <v>69</v>
      </c>
      <c r="C146" s="43" t="n">
        <f aca="false">Historicos!$E$12</f>
        <v>582.269</v>
      </c>
      <c r="D146" s="23" t="n">
        <f aca="false">D140*Supuestos!D$42</f>
        <v>686.670653439685</v>
      </c>
      <c r="E146" s="23" t="n">
        <f aca="false">E140*Supuestos!E$42</f>
        <v>762.204425318051</v>
      </c>
      <c r="F146" s="23" t="n">
        <f aca="false">F140*Supuestos!F$42</f>
        <v>800.454539926305</v>
      </c>
      <c r="G146" s="23" t="n">
        <f aca="false">G140*Supuestos!G$42</f>
        <v>827.936812463776</v>
      </c>
      <c r="H146" s="23" t="n">
        <f aca="false">H140*Supuestos!H$42</f>
        <v>831.362757894661</v>
      </c>
    </row>
    <row r="147" customFormat="false" ht="15" hidden="false" customHeight="true" outlineLevel="0" collapsed="false">
      <c r="A147" s="7" t="s">
        <v>298</v>
      </c>
      <c r="C147" s="43" t="n">
        <f aca="false">Historicos!$E$13</f>
        <v>451.056000000001</v>
      </c>
      <c r="D147" s="23" t="n">
        <f aca="false">D144-D146</f>
        <v>307.420356921466</v>
      </c>
      <c r="E147" s="23" t="n">
        <f aca="false">E144-E146</f>
        <v>341.236596182828</v>
      </c>
      <c r="F147" s="23" t="n">
        <f aca="false">F144-F146</f>
        <v>407.813378617156</v>
      </c>
      <c r="G147" s="23" t="n">
        <f aca="false">G144-G146</f>
        <v>464.909860377728</v>
      </c>
      <c r="H147" s="23" t="n">
        <f aca="false">H144-H146</f>
        <v>513.197781860503</v>
      </c>
    </row>
    <row r="148" customFormat="false" ht="15" hidden="false" customHeight="true" outlineLevel="0" collapsed="false">
      <c r="A148" s="7" t="s">
        <v>403</v>
      </c>
      <c r="D148" s="23" t="n">
        <f aca="false">D147*Supuestos!$C$6</f>
        <v>122.968142768587</v>
      </c>
      <c r="E148" s="23" t="n">
        <f aca="false">E147*Supuestos!$C$6</f>
        <v>136.494638473131</v>
      </c>
      <c r="F148" s="23" t="n">
        <f aca="false">F147*Supuestos!$C$6</f>
        <v>163.125351446862</v>
      </c>
      <c r="G148" s="23" t="n">
        <f aca="false">G147*Supuestos!$C$6</f>
        <v>185.963944151091</v>
      </c>
      <c r="H148" s="23" t="n">
        <f aca="false">H147*Supuestos!$C$6</f>
        <v>205.279112744201</v>
      </c>
    </row>
    <row r="149" customFormat="false" ht="15" hidden="false" customHeight="true" outlineLevel="0" collapsed="false">
      <c r="A149" s="6" t="s">
        <v>404</v>
      </c>
      <c r="D149" s="22" t="n">
        <f aca="false">D147-D148</f>
        <v>184.45221415288</v>
      </c>
      <c r="E149" s="22" t="n">
        <f aca="false">E147-E148</f>
        <v>204.741957709697</v>
      </c>
      <c r="F149" s="22" t="n">
        <f aca="false">F147-F148</f>
        <v>244.688027170294</v>
      </c>
      <c r="G149" s="22" t="n">
        <f aca="false">G147-G148</f>
        <v>278.945916226637</v>
      </c>
      <c r="H149" s="22" t="n">
        <f aca="false">H147-H148</f>
        <v>307.918669116302</v>
      </c>
      <c r="I149" s="23" t="n">
        <f aca="false">H149*(1+H166)</f>
        <v>315.036396250287</v>
      </c>
    </row>
    <row r="150" customFormat="false" ht="15" hidden="false" customHeight="true" outlineLevel="0" collapsed="false">
      <c r="A150" s="7" t="s">
        <v>405</v>
      </c>
      <c r="C150" s="23" t="n">
        <f aca="false">C141+C142+C143</f>
        <v>2912.939</v>
      </c>
      <c r="D150" s="23" t="n">
        <f aca="false">D141+D142+D143</f>
        <v>3396.35170592393</v>
      </c>
      <c r="E150" s="23" t="n">
        <f aca="false">E141+E142+E143</f>
        <v>3769.95039357556</v>
      </c>
      <c r="F150" s="23" t="n">
        <f aca="false">F141+F142+F143</f>
        <v>4128.09568096524</v>
      </c>
      <c r="G150" s="23" t="n">
        <f aca="false">G141+G142+G143</f>
        <v>4417.06237863281</v>
      </c>
      <c r="H150" s="23" t="n">
        <f aca="false">H141+H142+H143</f>
        <v>4593.74487377812</v>
      </c>
    </row>
    <row r="151" customFormat="false" ht="15" hidden="false" customHeight="true" outlineLevel="0" collapsed="false">
      <c r="A151" s="7" t="s">
        <v>144</v>
      </c>
      <c r="C151" s="43" t="n">
        <f aca="false">Historicos!$E$37</f>
        <v>435.497</v>
      </c>
      <c r="D151" s="23" t="n">
        <f aca="false">D140*Supuestos!$C$46/360</f>
        <v>508.161044007058</v>
      </c>
      <c r="E151" s="23" t="n">
        <f aca="false">E140*Supuestos!$C$46/360</f>
        <v>564.058758847835</v>
      </c>
      <c r="F151" s="23" t="n">
        <f aca="false">F140*Supuestos!$C$46/360</f>
        <v>617.644340938379</v>
      </c>
      <c r="G151" s="23" t="n">
        <f aca="false">G140*Supuestos!$C$46/360</f>
        <v>660.879444804065</v>
      </c>
      <c r="H151" s="23" t="n">
        <f aca="false">H140*Supuestos!$C$46/360</f>
        <v>687.314622596228</v>
      </c>
    </row>
    <row r="152" customFormat="false" ht="15" hidden="false" customHeight="true" outlineLevel="0" collapsed="false">
      <c r="A152" s="7" t="s">
        <v>145</v>
      </c>
      <c r="C152" s="43" t="n">
        <f aca="false">Historicos!$E$38</f>
        <v>100.99</v>
      </c>
      <c r="D152" s="23" t="n">
        <f aca="false">D139*Supuestos!$C$47/360</f>
        <v>131.416130190585</v>
      </c>
      <c r="E152" s="23" t="n">
        <f aca="false">E139*Supuestos!$C$47/360</f>
        <v>145.87190451155</v>
      </c>
      <c r="F152" s="23" t="n">
        <f aca="false">F139*Supuestos!$C$47/360</f>
        <v>159.729735440147</v>
      </c>
      <c r="G152" s="23" t="n">
        <f aca="false">G139*Supuestos!$C$47/360</f>
        <v>170.910816920957</v>
      </c>
      <c r="H152" s="23" t="n">
        <f aca="false">H139*Supuestos!$C$47/360</f>
        <v>177.747249597796</v>
      </c>
    </row>
    <row r="153" customFormat="false" ht="15" hidden="false" customHeight="true" outlineLevel="0" collapsed="false">
      <c r="A153" s="7" t="s">
        <v>146</v>
      </c>
      <c r="C153" s="43" t="n">
        <f aca="false">Historicos!$E$39</f>
        <v>41.588</v>
      </c>
      <c r="D153" s="23" t="n">
        <f aca="false">D150*Supuestos!$C$48</f>
        <v>46.8925821575488</v>
      </c>
      <c r="E153" s="23" t="n">
        <f aca="false">E150*Supuestos!$C$48</f>
        <v>52.0507661948792</v>
      </c>
      <c r="F153" s="23" t="n">
        <f aca="false">F150*Supuestos!$C$48</f>
        <v>56.9955889833927</v>
      </c>
      <c r="G153" s="23" t="n">
        <f aca="false">G150*Supuestos!$C$48</f>
        <v>60.9852802122302</v>
      </c>
      <c r="H153" s="23" t="n">
        <f aca="false">H150*Supuestos!$C$48</f>
        <v>63.4246914207194</v>
      </c>
    </row>
    <row r="154" customFormat="false" ht="15" hidden="false" customHeight="true" outlineLevel="0" collapsed="false">
      <c r="A154" s="7" t="s">
        <v>159</v>
      </c>
      <c r="C154" s="43" t="n">
        <f aca="false">Historicos!$E$52</f>
        <v>260.791</v>
      </c>
      <c r="D154" s="23" t="n">
        <f aca="false">D150*Supuestos!$C$49/360</f>
        <v>335.262271445044</v>
      </c>
      <c r="E154" s="23" t="n">
        <f aca="false">E150*Supuestos!$C$49/360</f>
        <v>372.141121303999</v>
      </c>
      <c r="F154" s="23" t="n">
        <f aca="false">F150*Supuestos!$C$49/360</f>
        <v>407.494527827879</v>
      </c>
      <c r="G154" s="23" t="n">
        <f aca="false">G150*Supuestos!$C$49/360</f>
        <v>436.019144775831</v>
      </c>
      <c r="H154" s="23" t="n">
        <f aca="false">H150*Supuestos!$C$49/360</f>
        <v>453.459910566864</v>
      </c>
    </row>
    <row r="155" customFormat="false" ht="15" hidden="false" customHeight="true" outlineLevel="0" collapsed="false">
      <c r="A155" s="7" t="s">
        <v>406</v>
      </c>
      <c r="C155" s="43" t="n">
        <f aca="false">Historicos!$E$53</f>
        <v>143.445</v>
      </c>
      <c r="D155" s="23" t="n">
        <f aca="false">D137*Supuestos!$C$50/360</f>
        <v>158.958082957455</v>
      </c>
      <c r="E155" s="23" t="n">
        <f aca="false">E137*Supuestos!$C$50/360</f>
        <v>176.443472082775</v>
      </c>
      <c r="F155" s="23" t="n">
        <f aca="false">F137*Supuestos!$C$50/360</f>
        <v>193.205601930638</v>
      </c>
      <c r="G155" s="23" t="n">
        <f aca="false">G137*Supuestos!$C$50/360</f>
        <v>206.729994065783</v>
      </c>
      <c r="H155" s="23" t="n">
        <f aca="false">H137*Supuestos!$C$50/360</f>
        <v>214.999193828414</v>
      </c>
    </row>
    <row r="156" customFormat="false" ht="15" hidden="false" customHeight="true" outlineLevel="0" collapsed="false">
      <c r="A156" s="7" t="s">
        <v>161</v>
      </c>
      <c r="C156" s="43" t="n">
        <f aca="false">Historicos!$E$54</f>
        <v>59.224</v>
      </c>
      <c r="D156" s="23" t="n">
        <f aca="false">D150*Supuestos!$C$51/360</f>
        <v>64.5784040033048</v>
      </c>
      <c r="E156" s="23" t="n">
        <f aca="false">E150*Supuestos!$C$51/360</f>
        <v>71.6820284436684</v>
      </c>
      <c r="F156" s="23" t="n">
        <f aca="false">F150*Supuestos!$C$51/360</f>
        <v>78.4918211458168</v>
      </c>
      <c r="G156" s="23" t="n">
        <f aca="false">G150*Supuestos!$C$51/360</f>
        <v>83.986248626024</v>
      </c>
      <c r="H156" s="23" t="n">
        <f aca="false">H150*Supuestos!$C$51/360</f>
        <v>87.345698571065</v>
      </c>
    </row>
    <row r="157" customFormat="false" ht="15" hidden="false" customHeight="true" outlineLevel="0" collapsed="false">
      <c r="A157" s="7" t="s">
        <v>407</v>
      </c>
      <c r="C157" s="23" t="n">
        <f aca="false">C151+C152+C153-C154-C155-C156</f>
        <v>114.615</v>
      </c>
      <c r="D157" s="23" t="n">
        <f aca="false">D151+D152+D153-D154-D155-D156</f>
        <v>127.670997949388</v>
      </c>
      <c r="E157" s="23" t="n">
        <f aca="false">E151+E152+E153-E154-E155-E156</f>
        <v>141.714807723821</v>
      </c>
      <c r="F157" s="23" t="n">
        <f aca="false">F151+F152+F153-F154-F155-F156</f>
        <v>155.177714457584</v>
      </c>
      <c r="G157" s="23" t="n">
        <f aca="false">G151+G152+G153-G154-G155-G156</f>
        <v>166.040154469615</v>
      </c>
      <c r="H157" s="23" t="n">
        <f aca="false">H151+H152+H153-H154-H155-H156</f>
        <v>172.6817606484</v>
      </c>
    </row>
    <row r="158" customFormat="false" ht="15" hidden="false" customHeight="true" outlineLevel="0" collapsed="false">
      <c r="A158" s="7" t="s">
        <v>408</v>
      </c>
      <c r="D158" s="23" t="n">
        <f aca="false">D157-C157</f>
        <v>13.0559979493885</v>
      </c>
      <c r="E158" s="23" t="n">
        <f aca="false">E157-D157</f>
        <v>14.0438097744328</v>
      </c>
      <c r="F158" s="23" t="n">
        <f aca="false">F157-E157</f>
        <v>13.4629067337629</v>
      </c>
      <c r="G158" s="23" t="n">
        <f aca="false">G157-F157</f>
        <v>10.8624400120309</v>
      </c>
      <c r="H158" s="23" t="n">
        <f aca="false">H157-G157</f>
        <v>6.6416061787846</v>
      </c>
    </row>
    <row r="159" customFormat="false" ht="15" hidden="false" customHeight="true" outlineLevel="0" collapsed="false">
      <c r="A159" s="7" t="s">
        <v>409</v>
      </c>
      <c r="D159" s="23" t="n">
        <f aca="false">D140*(Supuestos!D$41+Supuestos!$F$65)</f>
        <v>614.661980279912</v>
      </c>
      <c r="E159" s="23" t="n">
        <f aca="false">E140*(Supuestos!E$41+Supuestos!$F$65)</f>
        <v>682.274798110702</v>
      </c>
      <c r="F159" s="23" t="n">
        <f aca="false">F140*(Supuestos!F$41+Supuestos!$F$65)</f>
        <v>800.454539926306</v>
      </c>
      <c r="G159" s="23" t="n">
        <f aca="false">G140*(Supuestos!G$41+Supuestos!$F$65)</f>
        <v>870.761130349833</v>
      </c>
      <c r="H159" s="23" t="n">
        <f aca="false">H140*(Supuestos!H$41+Supuestos!$F$65)</f>
        <v>920.437339097659</v>
      </c>
    </row>
    <row r="160" customFormat="false" ht="15" hidden="false" customHeight="true" outlineLevel="0" collapsed="false">
      <c r="A160" s="6" t="s">
        <v>410</v>
      </c>
      <c r="D160" s="22" t="n">
        <f aca="false">D149+D146-D159-D158</f>
        <v>243.404889363265</v>
      </c>
      <c r="E160" s="22" t="n">
        <f aca="false">E149+E146-E159-E158</f>
        <v>270.627775142612</v>
      </c>
      <c r="F160" s="22" t="n">
        <f aca="false">F149+F146-F159-F158</f>
        <v>231.225120436531</v>
      </c>
      <c r="G160" s="22" t="n">
        <f aca="false">G149+G146-G159-G158</f>
        <v>225.259158328549</v>
      </c>
      <c r="H160" s="22" t="n">
        <f aca="false">H149+H146-H159-H158</f>
        <v>212.202481734519</v>
      </c>
      <c r="I160" s="22" t="n">
        <f aca="false">I149*(1-H167)</f>
        <v>217.10767103816</v>
      </c>
    </row>
    <row r="161" customFormat="false" ht="15" hidden="false" customHeight="true" outlineLevel="0" collapsed="false">
      <c r="A161" s="7" t="s">
        <v>411</v>
      </c>
      <c r="C161" s="43" t="n">
        <f aca="false">Historicos!$E$90+Historicos!$E$62+Historicos!$E$57</f>
        <v>4198.449</v>
      </c>
      <c r="D161" s="23" t="n">
        <f aca="false">C161+D159-D146+D158</f>
        <v>4139.49632478961</v>
      </c>
      <c r="E161" s="23" t="n">
        <f aca="false">D161+E159-E146+E158</f>
        <v>4073.6105073567</v>
      </c>
      <c r="F161" s="23" t="n">
        <f aca="false">E161+F159-F146+F158</f>
        <v>4087.07341409046</v>
      </c>
      <c r="G161" s="23" t="n">
        <f aca="false">F161+G159-G146+G158</f>
        <v>4140.76017198855</v>
      </c>
      <c r="H161" s="23" t="n">
        <f aca="false">G161+H159-H146+H158</f>
        <v>4236.47635937033</v>
      </c>
    </row>
    <row r="162" customFormat="false" ht="15" hidden="false" customHeight="true" outlineLevel="0" collapsed="false">
      <c r="A162" s="7" t="s">
        <v>412</v>
      </c>
      <c r="D162" s="24" t="n">
        <f aca="false">D149/C161</f>
        <v>0.0439334178295079</v>
      </c>
      <c r="E162" s="24" t="n">
        <f aca="false">E149/D161</f>
        <v>0.0494605965666856</v>
      </c>
      <c r="F162" s="24" t="n">
        <f aca="false">F149/E161</f>
        <v>0.0600666231414127</v>
      </c>
      <c r="G162" s="24" t="n">
        <f aca="false">G149/F161</f>
        <v>0.0682507721209392</v>
      </c>
      <c r="H162" s="24" t="n">
        <f aca="false">H149/G161</f>
        <v>0.0743628358868289</v>
      </c>
    </row>
    <row r="163" customFormat="false" ht="15" hidden="false" customHeight="true" outlineLevel="0" collapsed="false">
      <c r="A163" s="7" t="s">
        <v>413</v>
      </c>
      <c r="D163" s="24" t="n">
        <f aca="false">(D159-D146+D158)/D149</f>
        <v>-0.319609474362414</v>
      </c>
      <c r="E163" s="24" t="n">
        <f aca="false">(E159-E146+E158)/E149</f>
        <v>-0.321799293949973</v>
      </c>
      <c r="F163" s="24" t="n">
        <f aca="false">(F159-F146+F158)/F149</f>
        <v>0.0550207008060643</v>
      </c>
      <c r="G163" s="24" t="n">
        <f aca="false">(G159-G146+G158)/G149</f>
        <v>0.192462964234504</v>
      </c>
      <c r="H163" s="24" t="n">
        <f aca="false">(H159-H146+H158)/H149</f>
        <v>0.3108489253233</v>
      </c>
    </row>
    <row r="165" customFormat="false" ht="15" hidden="false" customHeight="true" outlineLevel="0" collapsed="false">
      <c r="A165" s="7" t="s">
        <v>414</v>
      </c>
      <c r="H165" s="10" t="n">
        <f aca="false">H162*H163</f>
        <v>0.0231156076194137</v>
      </c>
    </row>
    <row r="166" customFormat="false" ht="15" hidden="false" customHeight="true" outlineLevel="0" collapsed="false">
      <c r="A166" s="6" t="s">
        <v>415</v>
      </c>
      <c r="H166" s="46" t="n">
        <f aca="false">IF(Supuestos!$C$24=1,H165,Supuestos!$C$25)</f>
        <v>0.0231156076194137</v>
      </c>
    </row>
    <row r="167" customFormat="false" ht="15" hidden="false" customHeight="true" outlineLevel="0" collapsed="false">
      <c r="A167" s="7" t="s">
        <v>416</v>
      </c>
      <c r="H167" s="24" t="n">
        <f aca="false">H166/H162</f>
        <v>0.3108489253233</v>
      </c>
    </row>
    <row r="168" customFormat="false" ht="15" hidden="false" customHeight="true" outlineLevel="0" collapsed="false">
      <c r="A168" s="7" t="s">
        <v>417</v>
      </c>
      <c r="H168" s="23" t="n">
        <f aca="false">I160/(Costo_Capital!$C$16-H166)</f>
        <v>4093.65482779833</v>
      </c>
    </row>
    <row r="169" customFormat="false" ht="15" hidden="false" customHeight="true" outlineLevel="0" collapsed="false">
      <c r="A169" s="7" t="s">
        <v>418</v>
      </c>
      <c r="H169" s="23" t="n">
        <f aca="false">H144*IF(Supuestos!$C$26=1,Comparables!$P$11,Comparables!$P$13)</f>
        <v>13893.9261704249</v>
      </c>
    </row>
    <row r="170" customFormat="false" ht="15" hidden="false" customHeight="true" outlineLevel="0" collapsed="false">
      <c r="A170" s="7" t="s">
        <v>419</v>
      </c>
      <c r="H170" s="23" t="n">
        <f aca="false">NPV(Costo_Capital!$C$10,D160:H160)</f>
        <v>945.289329575723</v>
      </c>
    </row>
    <row r="171" customFormat="false" ht="15" hidden="false" customHeight="true" outlineLevel="0" collapsed="false">
      <c r="A171" s="7" t="s">
        <v>420</v>
      </c>
      <c r="H171" s="23" t="n">
        <f aca="false">H168/(1+Costo_Capital!$C$10)^5</f>
        <v>2756.11803743587</v>
      </c>
    </row>
    <row r="172" customFormat="false" ht="15" hidden="false" customHeight="true" outlineLevel="0" collapsed="false">
      <c r="A172" s="7" t="s">
        <v>421</v>
      </c>
      <c r="H172" s="23" t="n">
        <f aca="false">NPV(Supuestos!$C$7,Deuda!$L$13:$P$13)</f>
        <v>284.783121267308</v>
      </c>
    </row>
    <row r="173" customFormat="false" ht="15" hidden="false" customHeight="true" outlineLevel="0" collapsed="false">
      <c r="A173" s="6" t="s">
        <v>422</v>
      </c>
      <c r="H173" s="22" t="n">
        <f aca="false">H170+H171+H172</f>
        <v>3986.19048827891</v>
      </c>
    </row>
    <row r="174" customFormat="false" ht="15" hidden="false" customHeight="true" outlineLevel="0" collapsed="false">
      <c r="A174" s="7" t="s">
        <v>423</v>
      </c>
      <c r="H174" s="23" t="n">
        <f aca="false">Valoracion!$C$20</f>
        <v>1944.487135</v>
      </c>
    </row>
    <row r="175" customFormat="false" ht="15" hidden="false" customHeight="true" outlineLevel="0" collapsed="false">
      <c r="A175" s="7" t="s">
        <v>424</v>
      </c>
      <c r="H175" s="23" t="n">
        <f aca="false">Valoracion!$C$26</f>
        <v>1289.78732</v>
      </c>
    </row>
    <row r="176" customFormat="false" ht="15" hidden="false" customHeight="true" outlineLevel="0" collapsed="false">
      <c r="A176" s="6" t="s">
        <v>425</v>
      </c>
      <c r="H176" s="22" t="n">
        <f aca="false">H173+H174-H175</f>
        <v>4640.89030327891</v>
      </c>
    </row>
    <row r="179" customFormat="false" ht="15" hidden="false" customHeight="true" outlineLevel="0" collapsed="false">
      <c r="A179" s="4" t="s">
        <v>555</v>
      </c>
      <c r="B179" s="5"/>
      <c r="C179" s="5"/>
      <c r="D179" s="5"/>
      <c r="E179" s="5"/>
      <c r="F179" s="5"/>
      <c r="G179" s="5"/>
      <c r="H179" s="5"/>
      <c r="I179" s="5"/>
      <c r="J179" s="5"/>
    </row>
    <row r="180" customFormat="false" ht="15" hidden="false" customHeight="true" outlineLevel="0" collapsed="false">
      <c r="C180" s="6" t="s">
        <v>100</v>
      </c>
      <c r="D180" s="6" t="s">
        <v>101</v>
      </c>
      <c r="E180" s="6" t="s">
        <v>102</v>
      </c>
      <c r="F180" s="6" t="s">
        <v>103</v>
      </c>
    </row>
    <row r="181" customFormat="false" ht="15" hidden="false" customHeight="true" outlineLevel="0" collapsed="false">
      <c r="A181" s="7" t="s">
        <v>556</v>
      </c>
      <c r="C181" s="23" t="n">
        <f aca="false">H12</f>
        <v>1677.26921402134</v>
      </c>
      <c r="D181" s="23" t="n">
        <f aca="false">H56</f>
        <v>1463.32664802583</v>
      </c>
      <c r="E181" s="23" t="n">
        <f aca="false">H100</f>
        <v>1541.13915902627</v>
      </c>
      <c r="F181" s="23" t="n">
        <f aca="false">H144</f>
        <v>1344.56053975516</v>
      </c>
    </row>
    <row r="182" customFormat="false" ht="15" hidden="false" customHeight="true" outlineLevel="0" collapsed="false">
      <c r="A182" s="7" t="s">
        <v>557</v>
      </c>
      <c r="C182" s="24" t="n">
        <f aca="false">H13</f>
        <v>0.246421587662187</v>
      </c>
      <c r="D182" s="24" t="n">
        <f aca="false">H57</f>
        <v>0.246421587662187</v>
      </c>
      <c r="E182" s="24" t="n">
        <f aca="false">H101</f>
        <v>0.226421587662187</v>
      </c>
      <c r="F182" s="24" t="n">
        <f aca="false">H145</f>
        <v>0.226421587662187</v>
      </c>
    </row>
    <row r="183" customFormat="false" ht="15" hidden="false" customHeight="true" outlineLevel="0" collapsed="false">
      <c r="A183" s="7" t="s">
        <v>558</v>
      </c>
      <c r="C183" s="23" t="n">
        <f aca="false">H28</f>
        <v>318.643695013695</v>
      </c>
      <c r="D183" s="23" t="n">
        <f aca="false">H72</f>
        <v>282.987448741682</v>
      </c>
      <c r="E183" s="23" t="n">
        <f aca="false">H116</f>
        <v>237.891140796906</v>
      </c>
      <c r="F183" s="23" t="n">
        <f aca="false">H160</f>
        <v>212.202481734519</v>
      </c>
    </row>
    <row r="184" customFormat="false" ht="15" hidden="false" customHeight="true" outlineLevel="0" collapsed="false">
      <c r="A184" s="7" t="s">
        <v>490</v>
      </c>
      <c r="C184" s="10" t="n">
        <f aca="false">H34</f>
        <v>0.0278010646620126</v>
      </c>
      <c r="D184" s="10" t="n">
        <f aca="false">H78</f>
        <v>0.0231638601192176</v>
      </c>
      <c r="E184" s="10" t="n">
        <f aca="false">H122</f>
        <v>0.0276668937623613</v>
      </c>
      <c r="F184" s="10" t="n">
        <f aca="false">H166</f>
        <v>0.0231156076194137</v>
      </c>
    </row>
    <row r="185" customFormat="false" ht="15" hidden="false" customHeight="true" outlineLevel="0" collapsed="false">
      <c r="A185" s="7" t="s">
        <v>422</v>
      </c>
      <c r="C185" s="23" t="n">
        <f aca="false">H41</f>
        <v>6103.6438992641</v>
      </c>
      <c r="D185" s="23" t="n">
        <f aca="false">H85</f>
        <v>5145.15572686662</v>
      </c>
      <c r="E185" s="23" t="n">
        <f aca="false">H129</f>
        <v>4682.37791991147</v>
      </c>
      <c r="F185" s="23" t="n">
        <f aca="false">H173</f>
        <v>3986.19048827891</v>
      </c>
    </row>
    <row r="186" customFormat="false" ht="15" hidden="false" customHeight="true" outlineLevel="0" collapsed="false">
      <c r="A186" s="7" t="s">
        <v>559</v>
      </c>
      <c r="C186" s="23" t="n">
        <f aca="false">H44</f>
        <v>6758.3437142641</v>
      </c>
      <c r="D186" s="23" t="n">
        <f aca="false">H88</f>
        <v>5799.85554186662</v>
      </c>
      <c r="E186" s="23" t="n">
        <f aca="false">H132</f>
        <v>5337.07773491147</v>
      </c>
      <c r="F186" s="23" t="n">
        <f aca="false">H176</f>
        <v>4640.89030327891</v>
      </c>
    </row>
    <row r="187" customFormat="false" ht="15" hidden="false" customHeight="true" outlineLevel="0" collapsed="false">
      <c r="A187" s="7" t="s">
        <v>560</v>
      </c>
      <c r="C187" s="23" t="n">
        <f aca="false">C186-$C$186</f>
        <v>0</v>
      </c>
      <c r="D187" s="23" t="n">
        <f aca="false">D186-$C$186</f>
        <v>-958.488172397485</v>
      </c>
      <c r="E187" s="23" t="n">
        <f aca="false">E186-$C$186</f>
        <v>-1421.26597935263</v>
      </c>
      <c r="F187" s="23" t="n">
        <f aca="false">F186-$C$186</f>
        <v>-2117.4534109852</v>
      </c>
    </row>
    <row r="188" customFormat="false" ht="15" hidden="false" customHeight="true" outlineLevel="0" collapsed="false">
      <c r="A188" s="7" t="s">
        <v>561</v>
      </c>
      <c r="C188" s="23" t="n">
        <f aca="false">C186-Valoracion!$C$33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2"/>
    <col collapsed="false" customWidth="true" hidden="false" outlineLevel="0" max="9" min="9" style="1" width="40"/>
  </cols>
  <sheetData>
    <row r="1" customFormat="false" ht="15.75" hidden="false" customHeight="true" outlineLevel="0" collapsed="false">
      <c r="A1" s="2" t="s">
        <v>562</v>
      </c>
    </row>
    <row r="3" customFormat="false" ht="15" hidden="false" customHeight="true" outlineLevel="0" collapsed="false">
      <c r="A3" s="6" t="s">
        <v>563</v>
      </c>
    </row>
    <row r="4" customFormat="false" ht="15" hidden="false" customHeight="true" outlineLevel="0" collapsed="false">
      <c r="B4" s="8" t="n">
        <v>0.015</v>
      </c>
      <c r="C4" s="8" t="n">
        <v>0.02</v>
      </c>
      <c r="D4" s="8" t="n">
        <v>0.025</v>
      </c>
      <c r="E4" s="8" t="n">
        <v>0.03</v>
      </c>
      <c r="F4" s="8" t="n">
        <v>0.035</v>
      </c>
      <c r="G4" s="8" t="n">
        <v>0.04</v>
      </c>
    </row>
    <row r="5" customFormat="false" ht="15" hidden="false" customHeight="true" outlineLevel="0" collapsed="false">
      <c r="A5" s="9" t="n">
        <v>0.075</v>
      </c>
      <c r="B5" s="35" t="n">
        <f aca="false">NPV($A5,Proyeccion!$D$28:$H$28)+Proyeccion!$H$40+Proyeccion!$H$17*(1+B$4)*(1-B$4/Proyeccion!$H$30)/(($A5-Supuestos!$C$6*Supuestos!$C$7*Costo_Capital!$C$11)-B$4)/(1+$A5)^5+Valoracion!$C$20-Valoracion!$C$26</f>
        <v>7110.69060951296</v>
      </c>
      <c r="C5" s="35" t="n">
        <f aca="false">NPV($A5,Proyeccion!$D$28:$H$28)+Proyeccion!$H$40+Proyeccion!$H$17*(1+C$4)*(1-C$4/Proyeccion!$H$30)/(($A5-Supuestos!$C$6*Supuestos!$C$7*Costo_Capital!$C$11)-C$4)/(1+$A5)^5+Valoracion!$C$20-Valoracion!$C$26</f>
        <v>7334.3291481851</v>
      </c>
      <c r="D5" s="35" t="n">
        <f aca="false">NPV($A5,Proyeccion!$D$28:$H$28)+Proyeccion!$H$40+Proyeccion!$H$17*(1+D$4)*(1-D$4/Proyeccion!$H$30)/(($A5-Supuestos!$C$6*Supuestos!$C$7*Costo_Capital!$C$11)-D$4)/(1+$A5)^5+Valoracion!$C$20-Valoracion!$C$26</f>
        <v>7605.69519467879</v>
      </c>
      <c r="E5" s="35" t="n">
        <f aca="false">NPV($A5,Proyeccion!$D$28:$H$28)+Proyeccion!$H$40+Proyeccion!$H$17*(1+E$4)*(1-E$4/Proyeccion!$H$30)/(($A5-Supuestos!$C$6*Supuestos!$C$7*Costo_Capital!$C$11)-E$4)/(1+$A5)^5+Valoracion!$C$20-Valoracion!$C$26</f>
        <v>7943.2337652661</v>
      </c>
      <c r="F5" s="35" t="n">
        <f aca="false">NPV($A5,Proyeccion!$D$28:$H$28)+Proyeccion!$H$40+Proyeccion!$H$17*(1+F$4)*(1-F$4/Proyeccion!$H$30)/(($A5-Supuestos!$C$6*Supuestos!$C$7*Costo_Capital!$C$11)-F$4)/(1+$A5)^5+Valoracion!$C$20-Valoracion!$C$26</f>
        <v>8376.2997824032</v>
      </c>
      <c r="G5" s="35" t="n">
        <f aca="false">NPV($A5,Proyeccion!$D$28:$H$28)+Proyeccion!$H$40+Proyeccion!$H$17*(1+G$4)*(1-G$4/Proyeccion!$H$30)/(($A5-Supuestos!$C$6*Supuestos!$C$7*Costo_Capital!$C$11)-G$4)/(1+$A5)^5+Valoracion!$C$20-Valoracion!$C$26</f>
        <v>8954.62409605269</v>
      </c>
    </row>
    <row r="6" customFormat="false" ht="15" hidden="false" customHeight="true" outlineLevel="0" collapsed="false">
      <c r="A6" s="9" t="n">
        <v>0.0775</v>
      </c>
      <c r="B6" s="35" t="n">
        <f aca="false">NPV($A6,Proyeccion!$D$28:$H$28)+Proyeccion!$H$40+Proyeccion!$H$17*(1+B$4)*(1-B$4/Proyeccion!$H$30)/(($A6-Supuestos!$C$6*Supuestos!$C$7*Costo_Capital!$C$11)-B$4)/(1+$A6)^5+Valoracion!$C$20-Valoracion!$C$26</f>
        <v>6831.2069788761</v>
      </c>
      <c r="C6" s="35" t="n">
        <f aca="false">NPV($A6,Proyeccion!$D$28:$H$28)+Proyeccion!$H$40+Proyeccion!$H$17*(1+C$4)*(1-C$4/Proyeccion!$H$30)/(($A6-Supuestos!$C$6*Supuestos!$C$7*Costo_Capital!$C$11)-C$4)/(1+$A6)^5+Valoracion!$C$20-Valoracion!$C$26</f>
        <v>7020.59294798819</v>
      </c>
      <c r="D6" s="35" t="n">
        <f aca="false">NPV($A6,Proyeccion!$D$28:$H$28)+Proyeccion!$H$40+Proyeccion!$H$17*(1+D$4)*(1-D$4/Proyeccion!$H$30)/(($A6-Supuestos!$C$6*Supuestos!$C$7*Costo_Capital!$C$11)-D$4)/(1+$A6)^5+Valoracion!$C$20-Valoracion!$C$26</f>
        <v>7247.77047825217</v>
      </c>
      <c r="E6" s="35" t="n">
        <f aca="false">NPV($A6,Proyeccion!$D$28:$H$28)+Proyeccion!$H$40+Proyeccion!$H$17*(1+E$4)*(1-E$4/Proyeccion!$H$30)/(($A6-Supuestos!$C$6*Supuestos!$C$7*Costo_Capital!$C$11)-E$4)/(1+$A6)^5+Valoracion!$C$20-Valoracion!$C$26</f>
        <v>7526.46088752228</v>
      </c>
      <c r="F6" s="35" t="n">
        <f aca="false">NPV($A6,Proyeccion!$D$28:$H$28)+Proyeccion!$H$40+Proyeccion!$H$17*(1+F$4)*(1-F$4/Proyeccion!$H$30)/(($A6-Supuestos!$C$6*Supuestos!$C$7*Costo_Capital!$C$11)-F$4)/(1+$A6)^5+Valoracion!$C$20-Valoracion!$C$26</f>
        <v>7877.94267197872</v>
      </c>
      <c r="G6" s="35" t="n">
        <f aca="false">NPV($A6,Proyeccion!$D$28:$H$28)+Proyeccion!$H$40+Proyeccion!$H$17*(1+G$4)*(1-G$4/Proyeccion!$H$30)/(($A6-Supuestos!$C$6*Supuestos!$C$7*Costo_Capital!$C$11)-G$4)/(1+$A6)^5+Valoracion!$C$20-Valoracion!$C$26</f>
        <v>8337.08502031762</v>
      </c>
    </row>
    <row r="7" customFormat="false" ht="15" hidden="false" customHeight="true" outlineLevel="0" collapsed="false">
      <c r="A7" s="9" t="n">
        <v>0.08</v>
      </c>
      <c r="B7" s="35" t="n">
        <f aca="false">NPV($A7,Proyeccion!$D$28:$H$28)+Proyeccion!$H$40+Proyeccion!$H$17*(1+B$4)*(1-B$4/Proyeccion!$H$30)/(($A7-Supuestos!$C$6*Supuestos!$C$7*Costo_Capital!$C$11)-B$4)/(1+$A7)^5+Valoracion!$C$20-Valoracion!$C$26</f>
        <v>6575.56052120187</v>
      </c>
      <c r="C7" s="35" t="n">
        <f aca="false">NPV($A7,Proyeccion!$D$28:$H$28)+Proyeccion!$H$40+Proyeccion!$H$17*(1+C$4)*(1-C$4/Proyeccion!$H$30)/(($A7-Supuestos!$C$6*Supuestos!$C$7*Costo_Capital!$C$11)-C$4)/(1+$A7)^5+Valoracion!$C$20-Valoracion!$C$26</f>
        <v>6736.04279933964</v>
      </c>
      <c r="D7" s="35" t="n">
        <f aca="false">NPV($A7,Proyeccion!$D$28:$H$28)+Proyeccion!$H$40+Proyeccion!$H$17*(1+D$4)*(1-D$4/Proyeccion!$H$30)/(($A7-Supuestos!$C$6*Supuestos!$C$7*Costo_Capital!$C$11)-D$4)/(1+$A7)^5+Valoracion!$C$20-Valoracion!$C$26</f>
        <v>6926.4937482385</v>
      </c>
      <c r="E7" s="35" t="n">
        <f aca="false">NPV($A7,Proyeccion!$D$28:$H$28)+Proyeccion!$H$40+Proyeccion!$H$17*(1+E$4)*(1-E$4/Proyeccion!$H$30)/(($A7-Supuestos!$C$6*Supuestos!$C$7*Costo_Capital!$C$11)-E$4)/(1+$A7)^5+Valoracion!$C$20-Valoracion!$C$26</f>
        <v>7157.17348732007</v>
      </c>
      <c r="F7" s="35" t="n">
        <f aca="false">NPV($A7,Proyeccion!$D$28:$H$28)+Proyeccion!$H$40+Proyeccion!$H$17*(1+F$4)*(1-F$4/Proyeccion!$H$30)/(($A7-Supuestos!$C$6*Supuestos!$C$7*Costo_Capital!$C$11)-F$4)/(1+$A7)^5+Valoracion!$C$20-Valoracion!$C$26</f>
        <v>7443.62904016455</v>
      </c>
      <c r="G7" s="35" t="n">
        <f aca="false">NPV($A7,Proyeccion!$D$28:$H$28)+Proyeccion!$H$40+Proyeccion!$H$17*(1+G$4)*(1-G$4/Proyeccion!$H$30)/(($A7-Supuestos!$C$6*Supuestos!$C$7*Costo_Capital!$C$11)-G$4)/(1+$A7)^5+Valoracion!$C$20-Valoracion!$C$26</f>
        <v>7810.60322428367</v>
      </c>
    </row>
    <row r="8" customFormat="false" ht="15" hidden="false" customHeight="true" outlineLevel="0" collapsed="false">
      <c r="A8" s="9" t="n">
        <v>0.0825</v>
      </c>
      <c r="B8" s="35" t="n">
        <f aca="false">NPV($A8,Proyeccion!$D$28:$H$28)+Proyeccion!$H$40+Proyeccion!$H$17*(1+B$4)*(1-B$4/Proyeccion!$H$30)/(($A8-Supuestos!$C$6*Supuestos!$C$7*Costo_Capital!$C$11)-B$4)/(1+$A8)^5+Valoracion!$C$20-Valoracion!$C$26</f>
        <v>6340.83415610578</v>
      </c>
      <c r="C8" s="35" t="n">
        <f aca="false">NPV($A8,Proyeccion!$D$28:$H$28)+Proyeccion!$H$40+Proyeccion!$H$17*(1+C$4)*(1-C$4/Proyeccion!$H$30)/(($A8-Supuestos!$C$6*Supuestos!$C$7*Costo_Capital!$C$11)-C$4)/(1+$A8)^5+Valoracion!$C$20-Valoracion!$C$26</f>
        <v>6476.79096095943</v>
      </c>
      <c r="D8" s="35" t="n">
        <f aca="false">NPV($A8,Proyeccion!$D$28:$H$28)+Proyeccion!$H$40+Proyeccion!$H$17*(1+D$4)*(1-D$4/Proyeccion!$H$30)/(($A8-Supuestos!$C$6*Supuestos!$C$7*Costo_Capital!$C$11)-D$4)/(1+$A8)^5+Valoracion!$C$20-Valoracion!$C$26</f>
        <v>6636.50860019341</v>
      </c>
      <c r="E8" s="35" t="n">
        <f aca="false">NPV($A8,Proyeccion!$D$28:$H$28)+Proyeccion!$H$40+Proyeccion!$H$17*(1+E$4)*(1-E$4/Proyeccion!$H$30)/(($A8-Supuestos!$C$6*Supuestos!$C$7*Costo_Capital!$C$11)-E$4)/(1+$A8)^5+Valoracion!$C$20-Valoracion!$C$26</f>
        <v>6827.68275166513</v>
      </c>
      <c r="F8" s="35" t="n">
        <f aca="false">NPV($A8,Proyeccion!$D$28:$H$28)+Proyeccion!$H$40+Proyeccion!$H$17*(1+F$4)*(1-F$4/Proyeccion!$H$30)/(($A8-Supuestos!$C$6*Supuestos!$C$7*Costo_Capital!$C$11)-F$4)/(1+$A8)^5+Valoracion!$C$20-Valoracion!$C$26</f>
        <v>7061.7346107379</v>
      </c>
      <c r="G8" s="35" t="n">
        <f aca="false">NPV($A8,Proyeccion!$D$28:$H$28)+Proyeccion!$H$40+Proyeccion!$H$17*(1+G$4)*(1-G$4/Proyeccion!$H$30)/(($A8-Supuestos!$C$6*Supuestos!$C$7*Costo_Capital!$C$11)-G$4)/(1+$A8)^5+Valoracion!$C$20-Valoracion!$C$26</f>
        <v>7356.375731396</v>
      </c>
    </row>
    <row r="9" customFormat="false" ht="15" hidden="false" customHeight="true" outlineLevel="0" collapsed="false">
      <c r="A9" s="9" t="n">
        <v>0.085</v>
      </c>
      <c r="B9" s="35" t="n">
        <f aca="false">NPV($A9,Proyeccion!$D$28:$H$28)+Proyeccion!$H$40+Proyeccion!$H$17*(1+B$4)*(1-B$4/Proyeccion!$H$30)/(($A9-Supuestos!$C$6*Supuestos!$C$7*Costo_Capital!$C$11)-B$4)/(1+$A9)^5+Valoracion!$C$20-Valoracion!$C$26</f>
        <v>6124.56795334879</v>
      </c>
      <c r="C9" s="35" t="n">
        <f aca="false">NPV($A9,Proyeccion!$D$28:$H$28)+Proyeccion!$H$40+Proyeccion!$H$17*(1+C$4)*(1-C$4/Proyeccion!$H$30)/(($A9-Supuestos!$C$6*Supuestos!$C$7*Costo_Capital!$C$11)-C$4)/(1+$A9)^5+Valoracion!$C$20-Valoracion!$C$26</f>
        <v>6239.6107346287</v>
      </c>
      <c r="D9" s="35" t="n">
        <f aca="false">NPV($A9,Proyeccion!$D$28:$H$28)+Proyeccion!$H$40+Proyeccion!$H$17*(1+D$4)*(1-D$4/Proyeccion!$H$30)/(($A9-Supuestos!$C$6*Supuestos!$C$7*Costo_Capital!$C$11)-D$4)/(1+$A9)^5+Valoracion!$C$20-Valoracion!$C$26</f>
        <v>6373.4539969792</v>
      </c>
      <c r="E9" s="35" t="n">
        <f aca="false">NPV($A9,Proyeccion!$D$28:$H$28)+Proyeccion!$H$40+Proyeccion!$H$17*(1+E$4)*(1-E$4/Proyeccion!$H$30)/(($A9-Supuestos!$C$6*Supuestos!$C$7*Costo_Capital!$C$11)-E$4)/(1+$A9)^5+Valoracion!$C$20-Valoracion!$C$26</f>
        <v>6531.87499797283</v>
      </c>
      <c r="F9" s="35" t="n">
        <f aca="false">NPV($A9,Proyeccion!$D$28:$H$28)+Proyeccion!$H$40+Proyeccion!$H$17*(1+F$4)*(1-F$4/Proyeccion!$H$30)/(($A9-Supuestos!$C$6*Supuestos!$C$7*Costo_Capital!$C$11)-F$4)/(1+$A9)^5+Valoracion!$C$20-Valoracion!$C$26</f>
        <v>6723.28820936253</v>
      </c>
      <c r="G9" s="35" t="n">
        <f aca="false">NPV($A9,Proyeccion!$D$28:$H$28)+Proyeccion!$H$40+Proyeccion!$H$17*(1+G$4)*(1-G$4/Proyeccion!$H$30)/(($A9-Supuestos!$C$6*Supuestos!$C$7*Costo_Capital!$C$11)-G$4)/(1+$A9)^5+Valoracion!$C$20-Valoracion!$C$26</f>
        <v>6960.44396916891</v>
      </c>
    </row>
    <row r="10" customFormat="false" ht="15" hidden="false" customHeight="true" outlineLevel="0" collapsed="false">
      <c r="A10" s="9" t="n">
        <v>0.0875</v>
      </c>
      <c r="B10" s="35" t="n">
        <f aca="false">NPV($A10,Proyeccion!$D$28:$H$28)+Proyeccion!$H$40+Proyeccion!$H$17*(1+B$4)*(1-B$4/Proyeccion!$H$30)/(($A10-Supuestos!$C$6*Supuestos!$C$7*Costo_Capital!$C$11)-B$4)/(1+$A10)^5+Valoracion!$C$20-Valoracion!$C$26</f>
        <v>5924.67296000567</v>
      </c>
      <c r="C10" s="35" t="n">
        <f aca="false">NPV($A10,Proyeccion!$D$28:$H$28)+Proyeccion!$H$40+Proyeccion!$H$17*(1+C$4)*(1-C$4/Proyeccion!$H$30)/(($A10-Supuestos!$C$6*Supuestos!$C$7*Costo_Capital!$C$11)-C$4)/(1+$A10)^5+Valoracion!$C$20-Valoracion!$C$26</f>
        <v>6021.80169753719</v>
      </c>
      <c r="D10" s="35" t="n">
        <f aca="false">NPV($A10,Proyeccion!$D$28:$H$28)+Proyeccion!$H$40+Proyeccion!$H$17*(1+D$4)*(1-D$4/Proyeccion!$H$30)/(($A10-Supuestos!$C$6*Supuestos!$C$7*Costo_Capital!$C$11)-D$4)/(1+$A10)^5+Valoracion!$C$20-Valoracion!$C$26</f>
        <v>6133.74332479046</v>
      </c>
      <c r="E10" s="35" t="n">
        <f aca="false">NPV($A10,Proyeccion!$D$28:$H$28)+Proyeccion!$H$40+Proyeccion!$H$17*(1+E$4)*(1-E$4/Proyeccion!$H$30)/(($A10-Supuestos!$C$6*Supuestos!$C$7*Costo_Capital!$C$11)-E$4)/(1+$A10)^5+Valoracion!$C$20-Valoracion!$C$26</f>
        <v>6264.8279703907</v>
      </c>
      <c r="F10" s="35" t="n">
        <f aca="false">NPV($A10,Proyeccion!$D$28:$H$28)+Proyeccion!$H$40+Proyeccion!$H$17*(1+F$4)*(1-F$4/Proyeccion!$H$30)/(($A10-Supuestos!$C$6*Supuestos!$C$7*Costo_Capital!$C$11)-F$4)/(1+$A10)^5+Valoracion!$C$20-Valoracion!$C$26</f>
        <v>6421.25569028117</v>
      </c>
      <c r="G10" s="35" t="n">
        <f aca="false">NPV($A10,Proyeccion!$D$28:$H$28)+Proyeccion!$H$40+Proyeccion!$H$17*(1+G$4)*(1-G$4/Proyeccion!$H$30)/(($A10-Supuestos!$C$6*Supuestos!$C$7*Costo_Capital!$C$11)-G$4)/(1+$A10)^5+Valoracion!$C$20-Valoracion!$C$26</f>
        <v>6612.2280195967</v>
      </c>
    </row>
    <row r="11" customFormat="false" ht="15" hidden="false" customHeight="true" outlineLevel="0" collapsed="false">
      <c r="A11" s="9" t="n">
        <v>0.09</v>
      </c>
      <c r="B11" s="35" t="n">
        <f aca="false">NPV($A11,Proyeccion!$D$28:$H$28)+Proyeccion!$H$40+Proyeccion!$H$17*(1+B$4)*(1-B$4/Proyeccion!$H$30)/(($A11-Supuestos!$C$6*Supuestos!$C$7*Costo_Capital!$C$11)-B$4)/(1+$A11)^5+Valoracion!$C$20-Valoracion!$C$26</f>
        <v>5739.363811684</v>
      </c>
      <c r="C11" s="35" t="n">
        <f aca="false">NPV($A11,Proyeccion!$D$28:$H$28)+Proyeccion!$H$40+Proyeccion!$H$17*(1+C$4)*(1-C$4/Proyeccion!$H$30)/(($A11-Supuestos!$C$6*Supuestos!$C$7*Costo_Capital!$C$11)-C$4)/(1+$A11)^5+Valoracion!$C$20-Valoracion!$C$26</f>
        <v>5821.08661319955</v>
      </c>
      <c r="D11" s="35" t="n">
        <f aca="false">NPV($A11,Proyeccion!$D$28:$H$28)+Proyeccion!$H$40+Proyeccion!$H$17*(1+D$4)*(1-D$4/Proyeccion!$H$30)/(($A11-Supuestos!$C$6*Supuestos!$C$7*Costo_Capital!$C$11)-D$4)/(1+$A11)^5+Valoracion!$C$20-Valoracion!$C$26</f>
        <v>5914.3997996586</v>
      </c>
      <c r="E11" s="35" t="n">
        <f aca="false">NPV($A11,Proyeccion!$D$28:$H$28)+Proyeccion!$H$40+Proyeccion!$H$17*(1+E$4)*(1-E$4/Proyeccion!$H$30)/(($A11-Supuestos!$C$6*Supuestos!$C$7*Costo_Capital!$C$11)-E$4)/(1+$A11)^5+Valoracion!$C$20-Valoracion!$C$26</f>
        <v>6022.53409018226</v>
      </c>
      <c r="F11" s="35" t="n">
        <f aca="false">NPV($A11,Proyeccion!$D$28:$H$28)+Proyeccion!$H$40+Proyeccion!$H$17*(1+F$4)*(1-F$4/Proyeccion!$H$30)/(($A11-Supuestos!$C$6*Supuestos!$C$7*Costo_Capital!$C$11)-F$4)/(1+$A11)^5+Valoracion!$C$20-Valoracion!$C$26</f>
        <v>6150.04390736055</v>
      </c>
      <c r="G11" s="35" t="n">
        <f aca="false">NPV($A11,Proyeccion!$D$28:$H$28)+Proyeccion!$H$40+Proyeccion!$H$17*(1+G$4)*(1-G$4/Proyeccion!$H$30)/(($A11-Supuestos!$C$6*Supuestos!$C$7*Costo_Capital!$C$11)-G$4)/(1+$A11)^5+Valoracion!$C$20-Valoracion!$C$26</f>
        <v>6303.56268578647</v>
      </c>
    </row>
    <row r="12" customFormat="false" ht="15" hidden="false" customHeight="true" outlineLevel="0" collapsed="false">
      <c r="A12" s="7" t="s">
        <v>564</v>
      </c>
      <c r="B12" s="17" t="n">
        <f aca="false">Costo_Capital!$C$10</f>
        <v>0.0823374393250621</v>
      </c>
      <c r="C12" s="17" t="n">
        <f aca="false">Proyeccion!$H$34</f>
        <v>0.0278010646620126</v>
      </c>
      <c r="D12" s="51" t="n">
        <f aca="false">Valoracion!$C$33</f>
        <v>6758.3437142641</v>
      </c>
    </row>
    <row r="14" customFormat="false" ht="15" hidden="false" customHeight="true" outlineLevel="0" collapsed="false">
      <c r="A14" s="6" t="s">
        <v>565</v>
      </c>
    </row>
    <row r="15" customFormat="false" ht="15" hidden="false" customHeight="true" outlineLevel="0" collapsed="false">
      <c r="A15" s="7" t="s">
        <v>566</v>
      </c>
      <c r="B15" s="11" t="n">
        <v>4</v>
      </c>
      <c r="C15" s="11" t="n">
        <v>5</v>
      </c>
      <c r="D15" s="11" t="n">
        <v>6</v>
      </c>
      <c r="E15" s="11" t="n">
        <v>7</v>
      </c>
      <c r="F15" s="11" t="n">
        <v>8</v>
      </c>
      <c r="G15" s="11" t="n">
        <v>9</v>
      </c>
      <c r="H15" s="11" t="n">
        <v>10</v>
      </c>
      <c r="I15" s="11" t="n">
        <v>11</v>
      </c>
    </row>
    <row r="16" customFormat="false" ht="15" hidden="false" customHeight="true" outlineLevel="0" collapsed="false">
      <c r="A16" s="7" t="s">
        <v>349</v>
      </c>
      <c r="B16" s="35" t="n">
        <f aca="false">Valoracion!$C$8+Valoracion!$C$10+Proyeccion!$H$12*B15/(1+Costo_Capital!$C$10)^5+Valoracion!$C$20-Valoracion!$C$26</f>
        <v>6714.89235183629</v>
      </c>
      <c r="C16" s="35" t="n">
        <f aca="false">Valoracion!$C$8+Valoracion!$C$10+Proyeccion!$H$12*C15/(1+Costo_Capital!$C$10)^5+Valoracion!$C$20-Valoracion!$C$26</f>
        <v>7844.14045136068</v>
      </c>
      <c r="D16" s="35" t="n">
        <f aca="false">Valoracion!$C$8+Valoracion!$C$10+Proyeccion!$H$12*D15/(1+Costo_Capital!$C$10)^5+Valoracion!$C$20-Valoracion!$C$26</f>
        <v>8973.38855088508</v>
      </c>
      <c r="E16" s="35" t="n">
        <f aca="false">Valoracion!$C$8+Valoracion!$C$10+Proyeccion!$H$12*E15/(1+Costo_Capital!$C$10)^5+Valoracion!$C$20-Valoracion!$C$26</f>
        <v>10102.6366504095</v>
      </c>
      <c r="F16" s="35" t="n">
        <f aca="false">Valoracion!$C$8+Valoracion!$C$10+Proyeccion!$H$12*F15/(1+Costo_Capital!$C$10)^5+Valoracion!$C$20-Valoracion!$C$26</f>
        <v>11231.8847499339</v>
      </c>
      <c r="G16" s="35" t="n">
        <f aca="false">Valoracion!$C$8+Valoracion!$C$10+Proyeccion!$H$12*G15/(1+Costo_Capital!$C$10)^5+Valoracion!$C$20-Valoracion!$C$26</f>
        <v>12361.1328494583</v>
      </c>
      <c r="H16" s="35" t="n">
        <f aca="false">Valoracion!$C$8+Valoracion!$C$10+Proyeccion!$H$12*H15/(1+Costo_Capital!$C$10)^5+Valoracion!$C$20-Valoracion!$C$26</f>
        <v>13490.3809489826</v>
      </c>
      <c r="I16" s="35" t="n">
        <f aca="false">Valoracion!$C$8+Valoracion!$C$10+Proyeccion!$H$12*I15/(1+Costo_Capital!$C$10)^5+Valoracion!$C$20-Valoracion!$C$26</f>
        <v>14619.629048507</v>
      </c>
    </row>
    <row r="18" customFormat="false" ht="15" hidden="false" customHeight="true" outlineLevel="0" collapsed="false">
      <c r="A18" s="6" t="s">
        <v>567</v>
      </c>
      <c r="G18" s="6" t="s">
        <v>568</v>
      </c>
    </row>
    <row r="19" customFormat="false" ht="23.25" hidden="false" customHeight="true" outlineLevel="0" collapsed="false">
      <c r="B19" s="33" t="s">
        <v>569</v>
      </c>
      <c r="C19" s="33" t="s">
        <v>570</v>
      </c>
      <c r="D19" s="33" t="s">
        <v>571</v>
      </c>
      <c r="E19" s="33" t="s">
        <v>572</v>
      </c>
      <c r="F19" s="33" t="s">
        <v>573</v>
      </c>
    </row>
    <row r="20" customFormat="false" ht="15" hidden="false" customHeight="true" outlineLevel="0" collapsed="false">
      <c r="A20" s="7" t="s">
        <v>574</v>
      </c>
      <c r="B20" s="25" t="n">
        <f aca="false">0</f>
        <v>0</v>
      </c>
      <c r="C20" s="25" t="n">
        <f aca="false">Supuestos!$C$16</f>
        <v>0.1</v>
      </c>
      <c r="D20" s="25" t="n">
        <f aca="false">Supuestos!$C$17</f>
        <v>0.157</v>
      </c>
      <c r="E20" s="25" t="n">
        <f aca="false">Supuestos!$C$18</f>
        <v>0.25</v>
      </c>
      <c r="F20" s="25" t="n">
        <f aca="false">Supuestos!$C$19</f>
        <v>0.35</v>
      </c>
      <c r="G20" s="7" t="s">
        <v>575</v>
      </c>
      <c r="H20" s="8" t="n">
        <v>0</v>
      </c>
      <c r="I20" s="8" t="n">
        <v>0.5</v>
      </c>
      <c r="J20" s="8" t="n">
        <v>1</v>
      </c>
    </row>
    <row r="21" customFormat="false" ht="15" hidden="false" customHeight="true" outlineLevel="0" collapsed="false">
      <c r="A21" s="7" t="s">
        <v>349</v>
      </c>
      <c r="B21" s="35" t="n">
        <f aca="false">Valoracion!$C$33*(1-B20)</f>
        <v>6758.3437142641</v>
      </c>
      <c r="C21" s="35" t="n">
        <f aca="false">Valoracion!$C$33*(1-C20)</f>
        <v>6082.50934283769</v>
      </c>
      <c r="D21" s="35" t="n">
        <f aca="false">Valoracion!$C$33*(1-D20)</f>
        <v>5697.28375112464</v>
      </c>
      <c r="E21" s="35" t="n">
        <f aca="false">Valoracion!$C$33*(1-E20)</f>
        <v>5068.75778569808</v>
      </c>
      <c r="F21" s="35" t="n">
        <f aca="false">Valoracion!$C$33*(1-F20)</f>
        <v>4392.92341427167</v>
      </c>
      <c r="G21" s="7" t="s">
        <v>349</v>
      </c>
      <c r="H21" s="35" t="n">
        <f aca="false">Valoracion!$C$35+H20*Sinergias!$E$28</f>
        <v>6758.3437142641</v>
      </c>
      <c r="I21" s="35" t="n">
        <f aca="false">Valoracion!$C$35+I20*Sinergias!$E$28</f>
        <v>7860.84491274095</v>
      </c>
      <c r="J21" s="35" t="n">
        <f aca="false">Valoracion!$C$35+J20*Sinergias!$E$28</f>
        <v>8963.34611121779</v>
      </c>
    </row>
    <row r="23" customFormat="false" ht="15" hidden="false" customHeight="true" outlineLevel="0" collapsed="false">
      <c r="A23" s="6" t="s">
        <v>576</v>
      </c>
    </row>
    <row r="24" customFormat="false" ht="15" hidden="false" customHeight="true" outlineLevel="0" collapsed="false">
      <c r="B24" s="6" t="s">
        <v>577</v>
      </c>
      <c r="C24" s="6" t="s">
        <v>578</v>
      </c>
      <c r="D24" s="6" t="s">
        <v>579</v>
      </c>
      <c r="E24" s="6" t="s">
        <v>580</v>
      </c>
    </row>
    <row r="25" customFormat="false" ht="15" hidden="false" customHeight="true" outlineLevel="0" collapsed="false">
      <c r="A25" s="7" t="s">
        <v>581</v>
      </c>
      <c r="B25" s="35" t="n">
        <f aca="false">NPV(Costo_Capital!$C$10,Proyeccion!$D$28:$H$28)+Proyeccion!$H$40+Proyeccion!$H$17*(1+Proyeccion!$H$34-Supuestos!$C$32)*(1-(Proyeccion!$H$34-Supuestos!$C$32)/Proyeccion!$H$30)/((Costo_Capital!$C$16)-(Proyeccion!$H$34-Supuestos!$C$32))/(1+Costo_Capital!$C$10)^5+Valoracion!$C$20-Valoracion!$C$26</f>
        <v>6580.04630428658</v>
      </c>
      <c r="C25" s="35" t="n">
        <f aca="false">NPV(Costo_Capital!$C$10,Proyeccion!$D$28:$H$28)+Proyeccion!$H$40+Proyeccion!$H$17*(1+Proyeccion!$H$34+Supuestos!$C$32)*(1-(Proyeccion!$H$34+Supuestos!$C$32)/Proyeccion!$H$30)/((Costo_Capital!$C$16)-(Proyeccion!$H$34+Supuestos!$C$32))/(1+Costo_Capital!$C$10)^5+Valoracion!$C$20-Valoracion!$C$26</f>
        <v>6974.53176511881</v>
      </c>
      <c r="D25" s="35" t="n">
        <f aca="false">ABS(C25-B25)</f>
        <v>394.485460832228</v>
      </c>
      <c r="E25" s="7" t="s">
        <v>582</v>
      </c>
    </row>
    <row r="26" customFormat="false" ht="15" hidden="false" customHeight="true" outlineLevel="0" collapsed="false">
      <c r="A26" s="7" t="s">
        <v>583</v>
      </c>
      <c r="B26" s="35" t="n">
        <f aca="false">MIN(Costo_Capital!$F$24:$F$26)</f>
        <v>6747.88954367315</v>
      </c>
      <c r="C26" s="35" t="n">
        <f aca="false">MAX(Costo_Capital!$F$24:$F$26)</f>
        <v>7208.34361429014</v>
      </c>
      <c r="D26" s="35" t="n">
        <f aca="false">ABS(C26-B26)</f>
        <v>460.454070616988</v>
      </c>
      <c r="E26" s="7" t="s">
        <v>584</v>
      </c>
    </row>
    <row r="27" customFormat="false" ht="15" hidden="false" customHeight="true" outlineLevel="0" collapsed="false">
      <c r="A27" s="7" t="s">
        <v>585</v>
      </c>
      <c r="B27" s="35" t="n">
        <f aca="false">MIN(Costo_Capital!$F$27:$F$28)</f>
        <v>6008.38358566957</v>
      </c>
      <c r="C27" s="35" t="n">
        <f aca="false">MAX(Costo_Capital!$F$27:$F$28)</f>
        <v>7773.07063991356</v>
      </c>
      <c r="D27" s="35" t="n">
        <f aca="false">ABS(C27-B27)</f>
        <v>1764.68705424399</v>
      </c>
      <c r="E27" s="7" t="s">
        <v>586</v>
      </c>
    </row>
    <row r="28" customFormat="false" ht="15" hidden="false" customHeight="true" outlineLevel="0" collapsed="false">
      <c r="A28" s="7" t="s">
        <v>587</v>
      </c>
      <c r="B28" s="35" t="n">
        <f aca="false">MIN(Costo_Capital!$F$29:$F$31)</f>
        <v>6758.3437142641</v>
      </c>
      <c r="C28" s="35" t="n">
        <f aca="false">MAX(Costo_Capital!$F$29:$F$31)</f>
        <v>7262.54161996891</v>
      </c>
      <c r="D28" s="35" t="n">
        <f aca="false">ABS(C28-B28)</f>
        <v>504.197905704807</v>
      </c>
      <c r="E28" s="7" t="s">
        <v>588</v>
      </c>
    </row>
    <row r="29" customFormat="false" ht="15" hidden="false" customHeight="true" outlineLevel="0" collapsed="false">
      <c r="A29" s="7" t="s">
        <v>589</v>
      </c>
      <c r="B29" s="35" t="n">
        <f aca="false">MIN(Valoracion!$C$33,Valoracion!$C$46)</f>
        <v>6758.3437142641</v>
      </c>
      <c r="C29" s="35" t="n">
        <f aca="false">MAX(Valoracion!$C$33,Valoracion!$C$46)</f>
        <v>13866.9094620361</v>
      </c>
      <c r="D29" s="35" t="n">
        <f aca="false">ABS(C29-B29)</f>
        <v>7108.56574777204</v>
      </c>
      <c r="E29" s="7" t="s">
        <v>590</v>
      </c>
    </row>
    <row r="30" customFormat="false" ht="15" hidden="false" customHeight="true" outlineLevel="0" collapsed="false">
      <c r="A30" s="7" t="s">
        <v>591</v>
      </c>
      <c r="B30" s="35" t="n">
        <f aca="false">Valoracion!$C$33-Valoracion!$C$17+Historicos!$E$47+Valoracion!$C$24-Historicos!$E$68</f>
        <v>5440.9548992641</v>
      </c>
      <c r="C30" s="35" t="n">
        <f aca="false">Valoracion!$C$33</f>
        <v>6758.3437142641</v>
      </c>
      <c r="D30" s="35" t="n">
        <f aca="false">ABS(C30-B30)</f>
        <v>1317.388815</v>
      </c>
      <c r="E30" s="7" t="s">
        <v>592</v>
      </c>
    </row>
    <row r="31" customFormat="false" ht="15" hidden="false" customHeight="true" outlineLevel="0" collapsed="false">
      <c r="A31" s="7" t="s">
        <v>593</v>
      </c>
      <c r="B31" s="35" t="n">
        <f aca="false">Valoracion!$C$33*(1-Supuestos!$C$18)</f>
        <v>5068.75778569808</v>
      </c>
      <c r="C31" s="35" t="n">
        <f aca="false">Valoracion!$C$33</f>
        <v>6758.3437142641</v>
      </c>
      <c r="D31" s="35" t="n">
        <f aca="false">ABS(C31-B31)</f>
        <v>1689.58592856603</v>
      </c>
      <c r="E31" s="7" t="s">
        <v>594</v>
      </c>
    </row>
    <row r="32" customFormat="false" ht="15" hidden="false" customHeight="true" outlineLevel="0" collapsed="false">
      <c r="A32" s="7" t="s">
        <v>595</v>
      </c>
      <c r="B32" s="35" t="n">
        <f aca="false">Escenarios!$F$186</f>
        <v>4640.89030327891</v>
      </c>
      <c r="C32" s="35" t="n">
        <f aca="false">Valoracion!$C$33</f>
        <v>6758.3437142641</v>
      </c>
      <c r="D32" s="35" t="n">
        <f aca="false">ABS(C32-B32)</f>
        <v>2117.4534109852</v>
      </c>
      <c r="E32" s="7" t="s">
        <v>596</v>
      </c>
    </row>
    <row r="34" customFormat="false" ht="15" hidden="false" customHeight="true" outlineLevel="0" collapsed="false">
      <c r="A34" s="7" t="s">
        <v>597</v>
      </c>
      <c r="B34" s="7" t="str">
        <f aca="false">INDEX(A25:A32,MATCH(MAX(D25:D32),D25:D32,0))</f>
        <v>Valor terminal: perpetuidad vs. múltiplo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.75" hidden="false" customHeight="true" outlineLevel="0" collapsed="false">
      <c r="A1" s="2" t="s">
        <v>598</v>
      </c>
    </row>
    <row r="3" customFormat="false" ht="15" hidden="false" customHeight="true" outlineLevel="0" collapsed="false">
      <c r="A3" s="6" t="s">
        <v>599</v>
      </c>
      <c r="B3" s="6" t="s">
        <v>600</v>
      </c>
      <c r="C3" s="6" t="s">
        <v>601</v>
      </c>
      <c r="D3" s="6" t="s">
        <v>602</v>
      </c>
      <c r="E3" s="6" t="s">
        <v>603</v>
      </c>
    </row>
    <row r="4" customFormat="false" ht="15" hidden="false" customHeight="true" outlineLevel="0" collapsed="false">
      <c r="A4" s="7" t="s">
        <v>604</v>
      </c>
      <c r="B4" s="52" t="n">
        <f aca="false">Supuestos!C9</f>
        <v>0.0425</v>
      </c>
      <c r="C4" s="53" t="n">
        <v>0.0425</v>
      </c>
      <c r="D4" s="52" t="n">
        <f aca="false">ABS(B4-C4)</f>
        <v>0</v>
      </c>
      <c r="E4" s="7" t="str">
        <f aca="false">IF(D4&lt;0.0001,"Sí","NO")</f>
        <v>Sí</v>
      </c>
    </row>
    <row r="5" customFormat="false" ht="15" hidden="false" customHeight="true" outlineLevel="0" collapsed="false">
      <c r="A5" s="7" t="s">
        <v>605</v>
      </c>
      <c r="B5" s="52" t="n">
        <f aca="false">Comparables!C28</f>
        <v>0.815544484707162</v>
      </c>
      <c r="C5" s="53" t="n">
        <v>0.815544484707162</v>
      </c>
      <c r="D5" s="52" t="n">
        <f aca="false">ABS(B5-C5)</f>
        <v>0</v>
      </c>
      <c r="E5" s="7" t="str">
        <f aca="false">IF(D5&lt;0.0001,"Sí","NO")</f>
        <v>Sí</v>
      </c>
    </row>
    <row r="6" customFormat="false" ht="15" hidden="false" customHeight="true" outlineLevel="0" collapsed="false">
      <c r="A6" s="7" t="s">
        <v>606</v>
      </c>
      <c r="B6" s="52" t="n">
        <f aca="false">Comparables!D28</f>
        <v>0.726445788491122</v>
      </c>
      <c r="C6" s="53" t="n">
        <v>0.726445788491122</v>
      </c>
      <c r="D6" s="52" t="n">
        <f aca="false">ABS(B6-C6)</f>
        <v>0</v>
      </c>
      <c r="E6" s="7" t="str">
        <f aca="false">IF(D6&lt;0.0001,"Sí","NO")</f>
        <v>Sí</v>
      </c>
    </row>
    <row r="7" customFormat="false" ht="15" hidden="false" customHeight="true" outlineLevel="0" collapsed="false">
      <c r="A7" s="7" t="s">
        <v>607</v>
      </c>
      <c r="B7" s="52" t="n">
        <f aca="false">Costo_Capital!C9</f>
        <v>0.796748786501241</v>
      </c>
      <c r="C7" s="53" t="n">
        <v>0.796748786501241</v>
      </c>
      <c r="D7" s="52" t="n">
        <f aca="false">ABS(B7-C7)</f>
        <v>0</v>
      </c>
      <c r="E7" s="7" t="str">
        <f aca="false">IF(D7&lt;0.0001,"Sí","NO")</f>
        <v>Sí</v>
      </c>
    </row>
    <row r="8" customFormat="false" ht="15" hidden="false" customHeight="true" outlineLevel="0" collapsed="false">
      <c r="A8" s="7" t="s">
        <v>608</v>
      </c>
      <c r="B8" s="52" t="n">
        <f aca="false">Costo_Capital!C10</f>
        <v>0.0823374393250621</v>
      </c>
      <c r="C8" s="53" t="n">
        <v>0.0823374393250621</v>
      </c>
      <c r="D8" s="52" t="n">
        <f aca="false">ABS(B8-C8)</f>
        <v>0</v>
      </c>
      <c r="E8" s="7" t="str">
        <f aca="false">IF(D8&lt;0.0001,"Sí","NO")</f>
        <v>Sí</v>
      </c>
    </row>
    <row r="9" customFormat="false" ht="15" hidden="false" customHeight="true" outlineLevel="0" collapsed="false">
      <c r="A9" s="7" t="s">
        <v>609</v>
      </c>
      <c r="B9" s="52" t="n">
        <f aca="false">Costo_Capital!C17</f>
        <v>0.0761507755001716</v>
      </c>
      <c r="C9" s="53" t="n">
        <v>0.0761507755001716</v>
      </c>
      <c r="D9" s="52" t="n">
        <f aca="false">ABS(B9-C9)</f>
        <v>0</v>
      </c>
      <c r="E9" s="7" t="str">
        <f aca="false">IF(D9&lt;0.0001,"Sí","NO")</f>
        <v>Sí</v>
      </c>
    </row>
    <row r="10" customFormat="false" ht="15" hidden="false" customHeight="true" outlineLevel="0" collapsed="false">
      <c r="A10" s="7" t="s">
        <v>610</v>
      </c>
      <c r="B10" s="52" t="n">
        <f aca="false">Costo_Capital!C16</f>
        <v>0.0761507755001716</v>
      </c>
      <c r="C10" s="53" t="n">
        <v>0.0761507755001716</v>
      </c>
      <c r="D10" s="52" t="n">
        <f aca="false">ABS(B10-C10)</f>
        <v>0</v>
      </c>
      <c r="E10" s="7" t="str">
        <f aca="false">IF(D10&lt;0.0001,"Sí","NO")</f>
        <v>Sí</v>
      </c>
    </row>
    <row r="11" customFormat="false" ht="15" hidden="false" customHeight="true" outlineLevel="0" collapsed="false">
      <c r="A11" s="7" t="s">
        <v>611</v>
      </c>
      <c r="B11" s="52" t="n">
        <f aca="false">Deuda!C5</f>
        <v>3757.54545454546</v>
      </c>
      <c r="C11" s="53" t="n">
        <v>3757.54545454545</v>
      </c>
      <c r="D11" s="52" t="n">
        <f aca="false">ABS(B11-C11)</f>
        <v>0</v>
      </c>
      <c r="E11" s="7" t="str">
        <f aca="false">IF(D11&lt;0.0001,"Sí","NO")</f>
        <v>Sí</v>
      </c>
    </row>
    <row r="12" customFormat="false" ht="15" hidden="false" customHeight="true" outlineLevel="0" collapsed="false">
      <c r="A12" s="7" t="s">
        <v>612</v>
      </c>
      <c r="B12" s="52" t="n">
        <f aca="false">Deuda!C6</f>
        <v>40.7792422449141</v>
      </c>
      <c r="C12" s="53" t="n">
        <v>40.7792422449138</v>
      </c>
      <c r="D12" s="52" t="n">
        <f aca="false">ABS(B12-C12)</f>
        <v>3.12638803734444E-013</v>
      </c>
      <c r="E12" s="7" t="str">
        <f aca="false">IF(D12&lt;0.0001,"Sí","NO")</f>
        <v>Sí</v>
      </c>
    </row>
    <row r="13" customFormat="false" ht="15" hidden="false" customHeight="true" outlineLevel="0" collapsed="false">
      <c r="A13" s="7" t="s">
        <v>613</v>
      </c>
      <c r="B13" s="52" t="n">
        <f aca="false">Deuda!L9</f>
        <v>199.428958364936</v>
      </c>
      <c r="C13" s="53" t="n">
        <v>199.428958364936</v>
      </c>
      <c r="D13" s="52" t="n">
        <f aca="false">ABS(B13-C13)</f>
        <v>0</v>
      </c>
      <c r="E13" s="7" t="str">
        <f aca="false">IF(D13&lt;0.0001,"Sí","NO")</f>
        <v>Sí</v>
      </c>
    </row>
    <row r="14" customFormat="false" ht="15" hidden="false" customHeight="true" outlineLevel="0" collapsed="false">
      <c r="A14" s="7" t="s">
        <v>614</v>
      </c>
      <c r="B14" s="52" t="n">
        <f aca="false">Deuda!P11</f>
        <v>2134.90895884631</v>
      </c>
      <c r="C14" s="53" t="n">
        <v>2134.90895884633</v>
      </c>
      <c r="D14" s="52" t="n">
        <f aca="false">ABS(B14-C14)</f>
        <v>2.00088834390044E-011</v>
      </c>
      <c r="E14" s="7" t="str">
        <f aca="false">IF(D14&lt;0.0001,"Sí","NO")</f>
        <v>Sí</v>
      </c>
    </row>
    <row r="15" customFormat="false" ht="15" hidden="false" customHeight="true" outlineLevel="0" collapsed="false">
      <c r="A15" s="7" t="s">
        <v>615</v>
      </c>
      <c r="B15" s="52" t="n">
        <f aca="false">Valoracion!C10</f>
        <v>284.783121267308</v>
      </c>
      <c r="C15" s="53" t="n">
        <v>284.783121267308</v>
      </c>
      <c r="D15" s="52" t="n">
        <f aca="false">ABS(B15-C15)</f>
        <v>0</v>
      </c>
      <c r="E15" s="7" t="str">
        <f aca="false">IF(D15&lt;0.0001,"Sí","NO")</f>
        <v>Sí</v>
      </c>
    </row>
    <row r="16" customFormat="false" ht="15" hidden="false" customHeight="true" outlineLevel="0" collapsed="false">
      <c r="A16" s="7" t="s">
        <v>616</v>
      </c>
      <c r="B16" s="52" t="n">
        <f aca="false">Proyeccion!H8</f>
        <v>6806.5027497537</v>
      </c>
      <c r="C16" s="53" t="n">
        <v>6806.5027497537</v>
      </c>
      <c r="D16" s="52" t="n">
        <f aca="false">ABS(B16-C16)</f>
        <v>0</v>
      </c>
      <c r="E16" s="7" t="str">
        <f aca="false">IF(D16&lt;0.0001,"Sí","NO")</f>
        <v>Sí</v>
      </c>
    </row>
    <row r="17" customFormat="false" ht="15" hidden="false" customHeight="true" outlineLevel="0" collapsed="false">
      <c r="A17" s="7" t="s">
        <v>617</v>
      </c>
      <c r="B17" s="52" t="n">
        <f aca="false">Proyeccion!H12</f>
        <v>1677.26921402134</v>
      </c>
      <c r="C17" s="53" t="n">
        <v>1677.26921402134</v>
      </c>
      <c r="D17" s="52" t="n">
        <f aca="false">ABS(B17-C17)</f>
        <v>0</v>
      </c>
      <c r="E17" s="7" t="str">
        <f aca="false">IF(D17&lt;0.0001,"Sí","NO")</f>
        <v>Sí</v>
      </c>
    </row>
    <row r="18" customFormat="false" ht="15" hidden="false" customHeight="true" outlineLevel="0" collapsed="false">
      <c r="A18" s="7" t="s">
        <v>618</v>
      </c>
      <c r="B18" s="52" t="n">
        <f aca="false">Proyeccion!D28</f>
        <v>291.623237389733</v>
      </c>
      <c r="C18" s="53" t="n">
        <v>291.623237389733</v>
      </c>
      <c r="D18" s="52" t="n">
        <f aca="false">ABS(B18-C18)</f>
        <v>0</v>
      </c>
      <c r="E18" s="7" t="str">
        <f aca="false">IF(D18&lt;0.0001,"Sí","NO")</f>
        <v>Sí</v>
      </c>
    </row>
    <row r="19" customFormat="false" ht="15" hidden="false" customHeight="true" outlineLevel="0" collapsed="false">
      <c r="A19" s="7" t="s">
        <v>619</v>
      </c>
      <c r="B19" s="52" t="n">
        <f aca="false">Proyeccion!H28</f>
        <v>318.643695013695</v>
      </c>
      <c r="C19" s="53" t="n">
        <v>318.643695013695</v>
      </c>
      <c r="D19" s="52" t="n">
        <f aca="false">ABS(B19-C19)</f>
        <v>0</v>
      </c>
      <c r="E19" s="7" t="str">
        <f aca="false">IF(D19&lt;0.0001,"Sí","NO")</f>
        <v>Sí</v>
      </c>
    </row>
    <row r="20" customFormat="false" ht="15" hidden="false" customHeight="true" outlineLevel="0" collapsed="false">
      <c r="A20" s="7" t="s">
        <v>620</v>
      </c>
      <c r="B20" s="52" t="n">
        <f aca="false">Proyeccion!H30</f>
        <v>0.104187298743278</v>
      </c>
      <c r="C20" s="53" t="n">
        <v>0.104187298743278</v>
      </c>
      <c r="D20" s="52" t="n">
        <f aca="false">ABS(B20-C20)</f>
        <v>0</v>
      </c>
      <c r="E20" s="7" t="str">
        <f aca="false">IF(D20&lt;0.0001,"Sí","NO")</f>
        <v>Sí</v>
      </c>
    </row>
    <row r="21" customFormat="false" ht="15" hidden="false" customHeight="true" outlineLevel="0" collapsed="false">
      <c r="A21" s="7" t="s">
        <v>621</v>
      </c>
      <c r="B21" s="52" t="n">
        <f aca="false">Valoracion!C7</f>
        <v>0.0278010646620126</v>
      </c>
      <c r="C21" s="53" t="n">
        <v>0.0278010646620125</v>
      </c>
      <c r="D21" s="52" t="n">
        <f aca="false">ABS(B21-C21)</f>
        <v>0</v>
      </c>
      <c r="E21" s="7" t="str">
        <f aca="false">IF(D21&lt;0.0001,"Sí","NO")</f>
        <v>Sí</v>
      </c>
    </row>
    <row r="22" customFormat="false" ht="15" hidden="false" customHeight="true" outlineLevel="0" collapsed="false">
      <c r="A22" s="7" t="s">
        <v>622</v>
      </c>
      <c r="B22" s="52" t="n">
        <f aca="false">Proyeccion!H36</f>
        <v>6773.61504971895</v>
      </c>
      <c r="C22" s="53" t="n">
        <v>6773.61504971895</v>
      </c>
      <c r="D22" s="52" t="n">
        <f aca="false">ABS(B22-C22)</f>
        <v>0</v>
      </c>
      <c r="E22" s="7" t="str">
        <f aca="false">IF(D22&lt;0.0001,"Sí","NO")</f>
        <v>Sí</v>
      </c>
    </row>
    <row r="23" customFormat="false" ht="15" hidden="false" customHeight="true" outlineLevel="0" collapsed="false">
      <c r="A23" s="7" t="s">
        <v>623</v>
      </c>
      <c r="B23" s="52" t="n">
        <f aca="false">Valoracion!C8</f>
        <v>1258.41701747142</v>
      </c>
      <c r="C23" s="53" t="n">
        <v>1258.41701747142</v>
      </c>
      <c r="D23" s="52" t="n">
        <f aca="false">ABS(B23-C23)</f>
        <v>4.77484718430787E-012</v>
      </c>
      <c r="E23" s="7" t="str">
        <f aca="false">IF(D23&lt;0.0001,"Sí","NO")</f>
        <v>Sí</v>
      </c>
    </row>
    <row r="24" customFormat="false" ht="15" hidden="false" customHeight="true" outlineLevel="0" collapsed="false">
      <c r="A24" s="7" t="s">
        <v>624</v>
      </c>
      <c r="B24" s="52" t="n">
        <f aca="false">Valoracion!C11</f>
        <v>6103.6438992641</v>
      </c>
      <c r="C24" s="53" t="n">
        <v>6103.6438992641</v>
      </c>
      <c r="D24" s="52" t="n">
        <f aca="false">ABS(B24-C24)</f>
        <v>0</v>
      </c>
      <c r="E24" s="7" t="str">
        <f aca="false">IF(D24&lt;0.0001,"Sí","NO")</f>
        <v>Sí</v>
      </c>
    </row>
    <row r="25" customFormat="false" ht="15" hidden="false" customHeight="true" outlineLevel="0" collapsed="false">
      <c r="A25" s="7" t="s">
        <v>625</v>
      </c>
      <c r="B25" s="52" t="n">
        <f aca="false">Valoracion!C20</f>
        <v>1944.487135</v>
      </c>
      <c r="C25" s="53" t="n">
        <v>1944.487135</v>
      </c>
      <c r="D25" s="52" t="n">
        <f aca="false">ABS(B25-C25)</f>
        <v>0</v>
      </c>
      <c r="E25" s="7" t="str">
        <f aca="false">IF(D25&lt;0.0001,"Sí","NO")</f>
        <v>Sí</v>
      </c>
    </row>
    <row r="26" customFormat="false" ht="15" hidden="false" customHeight="true" outlineLevel="0" collapsed="false">
      <c r="A26" s="7" t="s">
        <v>626</v>
      </c>
      <c r="B26" s="52" t="n">
        <f aca="false">Valoracion!C26</f>
        <v>1289.78732</v>
      </c>
      <c r="C26" s="53" t="n">
        <v>1289.78732</v>
      </c>
      <c r="D26" s="52" t="n">
        <f aca="false">ABS(B26-C26)</f>
        <v>0</v>
      </c>
      <c r="E26" s="7" t="str">
        <f aca="false">IF(D26&lt;0.0001,"Sí","NO")</f>
        <v>Sí</v>
      </c>
    </row>
    <row r="27" customFormat="false" ht="15" hidden="false" customHeight="true" outlineLevel="0" collapsed="false">
      <c r="A27" s="7" t="s">
        <v>627</v>
      </c>
      <c r="B27" s="52" t="n">
        <f aca="false">Valoracion!C33</f>
        <v>6758.3437142641</v>
      </c>
      <c r="C27" s="53" t="n">
        <v>6758.3437142641</v>
      </c>
      <c r="D27" s="52" t="n">
        <f aca="false">ABS(B27-C27)</f>
        <v>0</v>
      </c>
      <c r="E27" s="7" t="str">
        <f aca="false">IF(D27&lt;0.0001,"Sí","NO")</f>
        <v>Sí</v>
      </c>
    </row>
    <row r="28" customFormat="false" ht="15" hidden="false" customHeight="true" outlineLevel="0" collapsed="false">
      <c r="A28" s="7" t="s">
        <v>628</v>
      </c>
      <c r="B28" s="52" t="n">
        <f aca="false">Valoracion!C36</f>
        <v>651.154113535456</v>
      </c>
      <c r="C28" s="53" t="n">
        <v>651.154113535455</v>
      </c>
      <c r="D28" s="52" t="n">
        <f aca="false">ABS(B28-C28)</f>
        <v>0</v>
      </c>
      <c r="E28" s="7" t="str">
        <f aca="false">IF(D28&lt;0.0001,"Sí","NO")</f>
        <v>Sí</v>
      </c>
    </row>
    <row r="29" customFormat="false" ht="15" hidden="false" customHeight="true" outlineLevel="0" collapsed="false">
      <c r="A29" s="7" t="s">
        <v>629</v>
      </c>
      <c r="B29" s="52" t="n">
        <f aca="false">Valoracion!C37</f>
        <v>1553.84828341823</v>
      </c>
      <c r="C29" s="53" t="n">
        <v>1553.84828341823</v>
      </c>
      <c r="D29" s="52" t="n">
        <f aca="false">ABS(B29-C29)</f>
        <v>0</v>
      </c>
      <c r="E29" s="7" t="str">
        <f aca="false">IF(D29&lt;0.0001,"Sí","NO")</f>
        <v>Sí</v>
      </c>
    </row>
    <row r="30" customFormat="false" ht="15" hidden="false" customHeight="true" outlineLevel="0" collapsed="false">
      <c r="A30" s="7" t="s">
        <v>630</v>
      </c>
      <c r="B30" s="52" t="n">
        <f aca="false">Valoracion!C38</f>
        <v>8963.34611121779</v>
      </c>
      <c r="C30" s="53" t="n">
        <v>8963.34611121779</v>
      </c>
      <c r="D30" s="52" t="n">
        <f aca="false">ABS(B30-C30)</f>
        <v>0</v>
      </c>
      <c r="E30" s="7" t="str">
        <f aca="false">IF(D30&lt;0.0001,"Sí","NO")</f>
        <v>Sí</v>
      </c>
    </row>
    <row r="31" customFormat="false" ht="15" hidden="false" customHeight="true" outlineLevel="0" collapsed="false">
      <c r="A31" s="7" t="s">
        <v>631</v>
      </c>
      <c r="B31" s="52" t="n">
        <f aca="false">Comparables!P13</f>
        <v>10.3334329393267</v>
      </c>
      <c r="C31" s="53" t="n">
        <v>10.3334329393267</v>
      </c>
      <c r="D31" s="52" t="n">
        <f aca="false">ABS(B31-C31)</f>
        <v>0</v>
      </c>
      <c r="E31" s="7" t="str">
        <f aca="false">IF(D31&lt;0.0001,"Sí","NO")</f>
        <v>Sí</v>
      </c>
    </row>
    <row r="32" customFormat="false" ht="15" hidden="false" customHeight="true" outlineLevel="0" collapsed="false">
      <c r="A32" s="7" t="s">
        <v>632</v>
      </c>
      <c r="B32" s="52" t="n">
        <f aca="false">Valoracion!C46</f>
        <v>13866.9094620361</v>
      </c>
      <c r="C32" s="53" t="n">
        <v>13866.9094620361</v>
      </c>
      <c r="D32" s="52" t="n">
        <f aca="false">ABS(B32-C32)</f>
        <v>0</v>
      </c>
      <c r="E32" s="7" t="str">
        <f aca="false">IF(D32&lt;0.0001,"Sí","NO")</f>
        <v>Sí</v>
      </c>
    </row>
    <row r="33" customFormat="false" ht="15" hidden="false" customHeight="true" outlineLevel="0" collapsed="false">
      <c r="A33" s="7" t="s">
        <v>633</v>
      </c>
      <c r="B33" s="52" t="n">
        <f aca="false">Valoracion!C47</f>
        <v>0.066469351015741</v>
      </c>
      <c r="C33" s="53" t="n">
        <v>0.066469351015741</v>
      </c>
      <c r="D33" s="52" t="n">
        <f aca="false">ABS(B33-C33)</f>
        <v>0</v>
      </c>
      <c r="E33" s="7" t="str">
        <f aca="false">IF(D33&lt;0.0001,"Sí","NO")</f>
        <v>Sí</v>
      </c>
    </row>
    <row r="34" customFormat="false" ht="15" hidden="false" customHeight="true" outlineLevel="0" collapsed="false">
      <c r="A34" s="7" t="s">
        <v>634</v>
      </c>
      <c r="B34" s="52" t="n">
        <f aca="false">Escenarios!F186</f>
        <v>4640.89030327891</v>
      </c>
      <c r="C34" s="53" t="n">
        <v>4640.89030327891</v>
      </c>
      <c r="D34" s="52" t="n">
        <f aca="false">ABS(B34-C34)</f>
        <v>0</v>
      </c>
      <c r="E34" s="7" t="str">
        <f aca="false">IF(D34&lt;0.0001,"Sí","NO")</f>
        <v>Sí</v>
      </c>
    </row>
    <row r="35" customFormat="false" ht="15" hidden="false" customHeight="true" outlineLevel="0" collapsed="false">
      <c r="A35" s="7" t="s">
        <v>635</v>
      </c>
      <c r="B35" s="52" t="n">
        <f aca="false">Proyeccion!H70</f>
        <v>563.433487252199</v>
      </c>
      <c r="C35" s="53" t="n">
        <v>563.433487252174</v>
      </c>
      <c r="D35" s="52" t="n">
        <f aca="false">ABS(B35-C35)</f>
        <v>2.46700437855907E-011</v>
      </c>
      <c r="E35" s="7" t="str">
        <f aca="false">IF(D35&lt;0.0001,"Sí","NO")</f>
        <v>Sí</v>
      </c>
    </row>
    <row r="36" customFormat="false" ht="15" hidden="false" customHeight="true" outlineLevel="0" collapsed="false">
      <c r="A36" s="7" t="s">
        <v>636</v>
      </c>
      <c r="B36" s="52" t="n">
        <f aca="false">Valoracion!C49</f>
        <v>6627.05470830632</v>
      </c>
      <c r="C36" s="53" t="n">
        <v>6627.05470830631</v>
      </c>
      <c r="D36" s="52" t="n">
        <f aca="false">ABS(B36-C36)</f>
        <v>0</v>
      </c>
      <c r="E36" s="7" t="str">
        <f aca="false">IF(D36&lt;0.0001,"Sí","NO")</f>
        <v>Sí</v>
      </c>
    </row>
    <row r="37" customFormat="false" ht="15" hidden="false" customHeight="true" outlineLevel="0" collapsed="false">
      <c r="A37" s="7" t="s">
        <v>637</v>
      </c>
      <c r="B37" s="52" t="n">
        <f aca="false">Valoracion!C55</f>
        <v>0.615623309052891</v>
      </c>
      <c r="C37" s="53" t="n">
        <v>0.615623309052891</v>
      </c>
      <c r="D37" s="52" t="n">
        <f aca="false">ABS(B37-C37)</f>
        <v>0</v>
      </c>
      <c r="E37" s="7" t="str">
        <f aca="false">IF(D37&lt;0.0001,"Sí","NO")</f>
        <v>Sí</v>
      </c>
    </row>
    <row r="39" customFormat="false" ht="15" hidden="false" customHeight="true" outlineLevel="0" collapsed="false">
      <c r="A39" s="3" t="s">
        <v>638</v>
      </c>
    </row>
    <row r="40" customFormat="false" ht="15" hidden="false" customHeight="true" outlineLevel="0" collapsed="false">
      <c r="A40" s="1" t="s">
        <v>639</v>
      </c>
      <c r="D40" s="54" t="n">
        <f aca="false">MAX(D4:D37)</f>
        <v>2.46700437855907E-011</v>
      </c>
      <c r="E40" s="1" t="str">
        <f aca="false">IF(COUNTIF(E4:E37,"Sí")=34,"Sí","NO")</f>
        <v>Sí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6" min="6" style="1" width="48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2" t="s">
        <v>640</v>
      </c>
    </row>
    <row r="3" customFormat="false" ht="15" hidden="false" customHeight="true" outlineLevel="0" collapsed="false">
      <c r="A3" s="6" t="s">
        <v>641</v>
      </c>
      <c r="B3" s="6" t="s">
        <v>642</v>
      </c>
      <c r="C3" s="6" t="s">
        <v>643</v>
      </c>
      <c r="D3" s="6" t="s">
        <v>3</v>
      </c>
      <c r="F3" s="6" t="s">
        <v>644</v>
      </c>
    </row>
    <row r="4" customFormat="false" ht="15" hidden="false" customHeight="true" outlineLevel="0" collapsed="false">
      <c r="A4" s="55" t="s">
        <v>645</v>
      </c>
      <c r="B4" s="55" t="s">
        <v>542</v>
      </c>
      <c r="C4" s="55" t="s">
        <v>646</v>
      </c>
      <c r="D4" s="56" t="n">
        <f aca="false">Valoracion!C60</f>
        <v>7409.49782779956</v>
      </c>
      <c r="F4" s="7" t="s">
        <v>647</v>
      </c>
      <c r="G4" s="49" t="n">
        <f aca="false">Historicos!$G$31</f>
        <v>0.0490000000001771</v>
      </c>
      <c r="H4" s="7" t="str">
        <f aca="false">IF(ABS(G4)&lt;=0.06,"OK","REVISAR")</f>
        <v>OK</v>
      </c>
    </row>
    <row r="5" customFormat="false" ht="15" hidden="false" customHeight="true" outlineLevel="0" collapsed="false">
      <c r="A5" s="55" t="s">
        <v>648</v>
      </c>
      <c r="B5" s="55" t="s">
        <v>538</v>
      </c>
      <c r="C5" s="55" t="s">
        <v>649</v>
      </c>
      <c r="D5" s="56" t="n">
        <f aca="false">Valoracion!C58</f>
        <v>6082.50934283769</v>
      </c>
      <c r="F5" s="7" t="s">
        <v>650</v>
      </c>
      <c r="G5" s="49" t="n">
        <f aca="false">Historicos!$G$79</f>
        <v>0</v>
      </c>
      <c r="H5" s="7" t="str">
        <f aca="false">IF(ABS(G5)&lt;=0.001,"OK","REVISAR")</f>
        <v>OK</v>
      </c>
    </row>
    <row r="6" customFormat="false" ht="15" hidden="false" customHeight="true" outlineLevel="0" collapsed="false">
      <c r="A6" s="55" t="s">
        <v>651</v>
      </c>
      <c r="B6" s="55" t="s">
        <v>540</v>
      </c>
      <c r="C6" s="55" t="s">
        <v>652</v>
      </c>
      <c r="D6" s="56" t="n">
        <f aca="false">Valoracion!C59</f>
        <v>7083.92077103183</v>
      </c>
      <c r="F6" s="7" t="s">
        <v>653</v>
      </c>
      <c r="G6" s="49" t="n">
        <f aca="false">Historicos!$G$87</f>
        <v>0.0469999999999118</v>
      </c>
      <c r="H6" s="7" t="str">
        <f aca="false">IF(ABS(G6)&lt;=0.06,"OK","REVISAR")</f>
        <v>OK</v>
      </c>
    </row>
    <row r="7" customFormat="false" ht="15" hidden="false" customHeight="true" outlineLevel="0" collapsed="false">
      <c r="A7" s="55" t="s">
        <v>654</v>
      </c>
      <c r="B7" s="55" t="s">
        <v>422</v>
      </c>
      <c r="C7" s="55" t="s">
        <v>655</v>
      </c>
      <c r="D7" s="56" t="n">
        <f aca="false">Valoracion!C11</f>
        <v>6103.6438992641</v>
      </c>
      <c r="F7" s="7" t="s">
        <v>656</v>
      </c>
      <c r="G7" s="49" t="n">
        <f aca="false">Historicos!$G$190</f>
        <v>3.83693077310454E-013</v>
      </c>
      <c r="H7" s="7" t="str">
        <f aca="false">IF(ABS(G7)&lt;=0.001,"OK","REVISAR")</f>
        <v>OK</v>
      </c>
    </row>
    <row r="8" customFormat="false" ht="15" hidden="false" customHeight="true" outlineLevel="0" collapsed="false">
      <c r="A8" s="55" t="s">
        <v>657</v>
      </c>
      <c r="B8" s="55" t="s">
        <v>504</v>
      </c>
      <c r="C8" s="55" t="s">
        <v>658</v>
      </c>
      <c r="D8" s="56" t="n">
        <f aca="false">Valoracion!C20</f>
        <v>1944.487135</v>
      </c>
      <c r="F8" s="7" t="s">
        <v>659</v>
      </c>
      <c r="G8" s="49" t="n">
        <f aca="false">Comparables!$O$15</f>
        <v>0.000455540204106847</v>
      </c>
      <c r="H8" s="7" t="str">
        <f aca="false">IF(ABS(G8)&lt;=0.0006,"OK","REVISAR")</f>
        <v>OK</v>
      </c>
    </row>
    <row r="9" customFormat="false" ht="15" hidden="false" customHeight="true" outlineLevel="0" collapsed="false">
      <c r="A9" s="55" t="s">
        <v>660</v>
      </c>
      <c r="B9" s="55" t="s">
        <v>510</v>
      </c>
      <c r="C9" s="55" t="s">
        <v>661</v>
      </c>
      <c r="D9" s="56" t="n">
        <f aca="false">Valoracion!C26</f>
        <v>1289.78732</v>
      </c>
      <c r="F9" s="7" t="s">
        <v>662</v>
      </c>
      <c r="G9" s="49" t="n">
        <f aca="false">Comparables!$O$16</f>
        <v>0</v>
      </c>
      <c r="H9" s="7" t="str">
        <f aca="false">IF(ABS(G9)&lt;=0.0001,"OK","REVISAR")</f>
        <v>OK</v>
      </c>
    </row>
    <row r="10" customFormat="false" ht="15" hidden="false" customHeight="true" outlineLevel="0" collapsed="false">
      <c r="A10" s="55" t="s">
        <v>663</v>
      </c>
      <c r="B10" s="55" t="s">
        <v>513</v>
      </c>
      <c r="C10" s="55" t="s">
        <v>664</v>
      </c>
      <c r="D10" s="56" t="n">
        <f aca="false">Valoracion!C33</f>
        <v>6758.3437142641</v>
      </c>
      <c r="F10" s="7" t="s">
        <v>665</v>
      </c>
      <c r="G10" s="49" t="n">
        <f aca="false">Historicos!$G$145</f>
        <v>0</v>
      </c>
      <c r="H10" s="7" t="str">
        <f aca="false">IF(ABS(G10)&lt;=0.5,"OK","REVISAR")</f>
        <v>OK</v>
      </c>
    </row>
    <row r="11" customFormat="false" ht="15" hidden="false" customHeight="true" outlineLevel="0" collapsed="false">
      <c r="A11" s="55" t="s">
        <v>666</v>
      </c>
      <c r="B11" s="55" t="s">
        <v>516</v>
      </c>
      <c r="C11" s="55" t="s">
        <v>667</v>
      </c>
      <c r="D11" s="56" t="n">
        <f aca="false">Valoracion!C36</f>
        <v>651.154113535456</v>
      </c>
      <c r="F11" s="7" t="s">
        <v>668</v>
      </c>
      <c r="G11" s="49" t="n">
        <f aca="false">Historicos!$G$148</f>
        <v>0.000472665289178789</v>
      </c>
      <c r="H11" s="7" t="str">
        <f aca="false">IF(ABS(G11)&lt;=0.0006,"OK","REVISAR")</f>
        <v>OK</v>
      </c>
    </row>
    <row r="12" customFormat="false" ht="15" hidden="false" customHeight="true" outlineLevel="0" collapsed="false">
      <c r="A12" s="55" t="s">
        <v>669</v>
      </c>
      <c r="B12" s="55" t="s">
        <v>517</v>
      </c>
      <c r="C12" s="55" t="s">
        <v>670</v>
      </c>
      <c r="D12" s="56" t="n">
        <f aca="false">Valoracion!C37</f>
        <v>1553.84828341823</v>
      </c>
      <c r="F12" s="7" t="s">
        <v>671</v>
      </c>
      <c r="G12" s="49" t="n">
        <f aca="false">Deuda!$Q$15</f>
        <v>0.376494028576417</v>
      </c>
      <c r="H12" s="7" t="str">
        <f aca="false">IF(ABS(G12)&lt;=0.6,"OK","REVISAR")</f>
        <v>OK</v>
      </c>
    </row>
    <row r="13" customFormat="false" ht="15" hidden="false" customHeight="true" outlineLevel="0" collapsed="false">
      <c r="A13" s="55" t="s">
        <v>672</v>
      </c>
      <c r="B13" s="55" t="s">
        <v>518</v>
      </c>
      <c r="C13" s="55" t="s">
        <v>673</v>
      </c>
      <c r="D13" s="56" t="n">
        <f aca="false">Valoracion!C38</f>
        <v>8963.34611121779</v>
      </c>
      <c r="F13" s="7" t="s">
        <v>674</v>
      </c>
      <c r="G13" s="49" t="n">
        <f aca="false">Proyeccion!$I$76</f>
        <v>0</v>
      </c>
      <c r="H13" s="7" t="str">
        <f aca="false">IF(ABS(G13)&lt;=0.001,"OK","REVISAR")</f>
        <v>OK</v>
      </c>
    </row>
    <row r="14" customFormat="false" ht="15" hidden="false" customHeight="true" outlineLevel="0" collapsed="false">
      <c r="A14" s="55" t="s">
        <v>675</v>
      </c>
      <c r="B14" s="55" t="s">
        <v>531</v>
      </c>
      <c r="C14" s="55" t="s">
        <v>676</v>
      </c>
      <c r="D14" s="56" t="n">
        <f aca="false">Valoracion!C51</f>
        <v>5.90679979606039</v>
      </c>
      <c r="F14" s="7" t="s">
        <v>677</v>
      </c>
      <c r="G14" s="49" t="n">
        <f aca="false">Proyeccion!$I$83</f>
        <v>0</v>
      </c>
      <c r="H14" s="7" t="str">
        <f aca="false">IF(ABS(G14)&lt;=0.001,"OK","REVISAR")</f>
        <v>OK</v>
      </c>
    </row>
    <row r="15" customFormat="false" ht="15" hidden="false" customHeight="true" outlineLevel="0" collapsed="false">
      <c r="A15" s="55" t="s">
        <v>678</v>
      </c>
      <c r="B15" s="55" t="s">
        <v>333</v>
      </c>
      <c r="C15" s="55" t="s">
        <v>679</v>
      </c>
      <c r="D15" s="56" t="n">
        <f aca="false">Costo_Capital!C10</f>
        <v>0.0823374393250621</v>
      </c>
      <c r="F15" s="7" t="s">
        <v>680</v>
      </c>
      <c r="G15" s="49" t="n">
        <f aca="false">Valoracion!$C$39</f>
        <v>0</v>
      </c>
      <c r="H15" s="7" t="str">
        <f aca="false">IF(ABS(G15)&lt;=0.001,"OK","REVISAR")</f>
        <v>OK</v>
      </c>
    </row>
    <row r="16" customFormat="false" ht="15" hidden="false" customHeight="true" outlineLevel="0" collapsed="false">
      <c r="A16" s="55" t="s">
        <v>681</v>
      </c>
      <c r="B16" s="55" t="s">
        <v>339</v>
      </c>
      <c r="C16" s="55" t="s">
        <v>682</v>
      </c>
      <c r="D16" s="56" t="n">
        <f aca="false">Costo_Capital!C16</f>
        <v>0.0761507755001716</v>
      </c>
      <c r="F16" s="7" t="s">
        <v>683</v>
      </c>
      <c r="G16" s="49" t="n">
        <f aca="false">Escenarios!$C$188</f>
        <v>0</v>
      </c>
      <c r="H16" s="7" t="str">
        <f aca="false">IF(ABS(G16)&lt;=0.001,"OK","REVISAR")</f>
        <v>OK</v>
      </c>
    </row>
    <row r="17" customFormat="false" ht="15" hidden="false" customHeight="true" outlineLevel="0" collapsed="false">
      <c r="A17" s="55" t="s">
        <v>684</v>
      </c>
      <c r="B17" s="55" t="s">
        <v>490</v>
      </c>
      <c r="C17" s="55" t="s">
        <v>685</v>
      </c>
      <c r="D17" s="56" t="n">
        <f aca="false">Valoracion!C7</f>
        <v>0.0278010646620126</v>
      </c>
      <c r="F17" s="7" t="s">
        <v>686</v>
      </c>
      <c r="G17" s="49" t="n">
        <f aca="false">Sinergias!$E$27</f>
        <v>0</v>
      </c>
      <c r="H17" s="7" t="str">
        <f aca="false">IF(ABS(G17)&lt;=0.001,"OK","REVISAR")</f>
        <v>OK</v>
      </c>
    </row>
    <row r="18" customFormat="false" ht="15" hidden="false" customHeight="true" outlineLevel="0" collapsed="false">
      <c r="A18" s="55" t="s">
        <v>687</v>
      </c>
      <c r="B18" s="55" t="s">
        <v>494</v>
      </c>
      <c r="C18" s="55" t="s">
        <v>688</v>
      </c>
      <c r="D18" s="56" t="n">
        <f aca="false">Valoracion!C12</f>
        <v>0.747167402914056</v>
      </c>
      <c r="F18" s="6" t="s">
        <v>689</v>
      </c>
      <c r="H18" s="6" t="str">
        <f aca="false">IF(COUNTIF(H4:H17,"OK")=14,"OK","REVISAR")</f>
        <v>OK</v>
      </c>
    </row>
    <row r="19" customFormat="false" ht="15" hidden="false" customHeight="false" outlineLevel="0" collapsed="false">
      <c r="A19" s="55" t="s">
        <v>690</v>
      </c>
      <c r="B19" s="55" t="s">
        <v>691</v>
      </c>
      <c r="C19" s="55" t="s">
        <v>692</v>
      </c>
      <c r="D19" s="56" t="n">
        <f aca="false">Comparables!P13</f>
        <v>10.3334329393267</v>
      </c>
    </row>
    <row r="20" customFormat="false" ht="15" hidden="false" customHeight="false" outlineLevel="0" collapsed="false">
      <c r="A20" s="55" t="s">
        <v>693</v>
      </c>
      <c r="B20" s="55" t="s">
        <v>525</v>
      </c>
      <c r="C20" s="55" t="s">
        <v>694</v>
      </c>
      <c r="D20" s="56" t="n">
        <f aca="false">Valoracion!C46</f>
        <v>13866.9094620361</v>
      </c>
    </row>
    <row r="21" customFormat="false" ht="15" hidden="false" customHeight="false" outlineLevel="0" collapsed="false">
      <c r="A21" s="55" t="s">
        <v>695</v>
      </c>
      <c r="B21" s="55" t="s">
        <v>526</v>
      </c>
      <c r="C21" s="55" t="s">
        <v>696</v>
      </c>
      <c r="D21" s="56" t="n">
        <f aca="false">Valoracion!C47</f>
        <v>0.066469351015741</v>
      </c>
    </row>
    <row r="22" customFormat="false" ht="15" hidden="false" customHeight="false" outlineLevel="0" collapsed="false">
      <c r="A22" s="55" t="s">
        <v>697</v>
      </c>
      <c r="B22" s="55" t="s">
        <v>548</v>
      </c>
      <c r="C22" s="55" t="s">
        <v>698</v>
      </c>
      <c r="D22" s="56" t="n">
        <f aca="false">Valoracion!C66</f>
        <v>0.0963481795341565</v>
      </c>
    </row>
    <row r="23" customFormat="false" ht="15" hidden="false" customHeight="false" outlineLevel="0" collapsed="false">
      <c r="A23" s="55" t="s">
        <v>699</v>
      </c>
      <c r="B23" s="55" t="s">
        <v>547</v>
      </c>
      <c r="C23" s="55" t="s">
        <v>700</v>
      </c>
      <c r="D23" s="56" t="n">
        <f aca="false">Valoracion!C65</f>
        <v>0.70469233301739</v>
      </c>
    </row>
    <row r="24" customFormat="false" ht="15" hidden="false" customHeight="false" outlineLevel="0" collapsed="false">
      <c r="A24" s="55" t="s">
        <v>701</v>
      </c>
      <c r="B24" s="55" t="s">
        <v>349</v>
      </c>
      <c r="C24" s="55" t="s">
        <v>702</v>
      </c>
      <c r="D24" s="56" t="n">
        <f aca="false">Sensibilidad!I21</f>
        <v>7860.84491274095</v>
      </c>
    </row>
    <row r="25" customFormat="false" ht="15" hidden="false" customHeight="false" outlineLevel="0" collapsed="false">
      <c r="A25" s="55" t="s">
        <v>703</v>
      </c>
      <c r="B25" s="55" t="s">
        <v>377</v>
      </c>
      <c r="C25" s="55" t="s">
        <v>704</v>
      </c>
      <c r="D25" s="56" t="n">
        <f aca="false">Deuda!C5</f>
        <v>3757.54545454546</v>
      </c>
    </row>
    <row r="26" customFormat="false" ht="15" hidden="false" customHeight="false" outlineLevel="0" collapsed="false">
      <c r="A26" s="55" t="s">
        <v>705</v>
      </c>
      <c r="B26" s="55" t="s">
        <v>535</v>
      </c>
      <c r="C26" s="55" t="s">
        <v>706</v>
      </c>
      <c r="D26" s="56" t="n">
        <f aca="false">Valoracion!C55</f>
        <v>0.615623309052891</v>
      </c>
    </row>
    <row r="27" customFormat="false" ht="15" hidden="false" customHeight="false" outlineLevel="0" collapsed="false">
      <c r="A27" s="55" t="s">
        <v>707</v>
      </c>
      <c r="B27" s="55" t="s">
        <v>708</v>
      </c>
      <c r="C27" s="55" t="s">
        <v>709</v>
      </c>
      <c r="D27" s="56" t="n">
        <f aca="false">Supuestos!C12</f>
        <v>0.5</v>
      </c>
    </row>
    <row r="28" customFormat="false" ht="15" hidden="false" customHeight="false" outlineLevel="0" collapsed="false">
      <c r="A28" s="55" t="s">
        <v>710</v>
      </c>
      <c r="B28" s="55" t="s">
        <v>536</v>
      </c>
      <c r="C28" s="55" t="s">
        <v>711</v>
      </c>
      <c r="D28" s="56" t="n">
        <f aca="false">Valoracion!C56</f>
        <v>0.466884229213974</v>
      </c>
    </row>
    <row r="29" customFormat="false" ht="15" hidden="false" customHeight="false" outlineLevel="0" collapsed="false">
      <c r="A29" s="55" t="s">
        <v>712</v>
      </c>
      <c r="B29" s="55" t="s">
        <v>713</v>
      </c>
      <c r="C29" s="55" t="s">
        <v>714</v>
      </c>
      <c r="D29" s="56" t="n">
        <f aca="false">Proyeccion!H70</f>
        <v>563.433487252199</v>
      </c>
    </row>
    <row r="30" customFormat="false" ht="15" hidden="false" customHeight="false" outlineLevel="0" collapsed="false">
      <c r="A30" s="55" t="s">
        <v>715</v>
      </c>
      <c r="B30" s="55" t="s">
        <v>716</v>
      </c>
      <c r="C30" s="55" t="s">
        <v>717</v>
      </c>
      <c r="D30" s="56" t="n">
        <f aca="false">Supuestos!C7</f>
        <v>0.055</v>
      </c>
    </row>
    <row r="31" customFormat="false" ht="15" hidden="false" customHeight="false" outlineLevel="0" collapsed="false">
      <c r="A31" s="55" t="s">
        <v>718</v>
      </c>
      <c r="B31" s="55" t="s">
        <v>719</v>
      </c>
      <c r="C31" s="55" t="s">
        <v>720</v>
      </c>
      <c r="D31" s="56" t="n">
        <f aca="false">Supuestos!C8</f>
        <v>0.0125</v>
      </c>
    </row>
    <row r="32" customFormat="false" ht="15" hidden="false" customHeight="false" outlineLevel="0" collapsed="false">
      <c r="A32" s="55" t="s">
        <v>721</v>
      </c>
      <c r="B32" s="55" t="s">
        <v>722</v>
      </c>
      <c r="C32" s="55" t="s">
        <v>723</v>
      </c>
      <c r="D32" s="56" t="n">
        <f aca="false">Supuestos!C10</f>
        <v>0.05</v>
      </c>
    </row>
    <row r="33" customFormat="false" ht="15" hidden="false" customHeight="false" outlineLevel="0" collapsed="false">
      <c r="A33" s="55" t="s">
        <v>724</v>
      </c>
      <c r="B33" s="55" t="s">
        <v>725</v>
      </c>
      <c r="C33" s="55" t="s">
        <v>726</v>
      </c>
      <c r="D33" s="56" t="n">
        <f aca="false">Supuestos!C11</f>
        <v>5</v>
      </c>
    </row>
    <row r="34" customFormat="false" ht="15" hidden="false" customHeight="false" outlineLevel="0" collapsed="false">
      <c r="A34" s="55" t="s">
        <v>727</v>
      </c>
      <c r="B34" s="55" t="s">
        <v>728</v>
      </c>
      <c r="C34" s="55" t="s">
        <v>729</v>
      </c>
      <c r="D34" s="56" t="n">
        <f aca="false">Supuestos!C15</f>
        <v>19.095</v>
      </c>
    </row>
    <row r="35" customFormat="false" ht="15" hidden="false" customHeight="false" outlineLevel="0" collapsed="false">
      <c r="A35" s="55" t="s">
        <v>730</v>
      </c>
      <c r="B35" s="55" t="s">
        <v>731</v>
      </c>
      <c r="C35" s="55" t="s">
        <v>732</v>
      </c>
      <c r="D35" s="56" t="n">
        <f aca="false">Supuestos!C16</f>
        <v>0.1</v>
      </c>
    </row>
    <row r="36" customFormat="false" ht="15" hidden="false" customHeight="false" outlineLevel="0" collapsed="false">
      <c r="A36" s="55" t="s">
        <v>733</v>
      </c>
      <c r="B36" s="55" t="s">
        <v>734</v>
      </c>
      <c r="C36" s="55" t="s">
        <v>735</v>
      </c>
      <c r="D36" s="56" t="n">
        <f aca="false">Supuestos!C18</f>
        <v>0.25</v>
      </c>
    </row>
    <row r="37" customFormat="false" ht="15" hidden="false" customHeight="false" outlineLevel="0" collapsed="false">
      <c r="A37" s="55" t="s">
        <v>736</v>
      </c>
      <c r="B37" s="55" t="s">
        <v>737</v>
      </c>
      <c r="C37" s="55" t="s">
        <v>738</v>
      </c>
      <c r="D37" s="56" t="n">
        <f aca="false">Supuestos!C19</f>
        <v>0.35</v>
      </c>
    </row>
    <row r="38" customFormat="false" ht="15" hidden="false" customHeight="false" outlineLevel="0" collapsed="false">
      <c r="A38" s="55" t="s">
        <v>739</v>
      </c>
      <c r="B38" s="55" t="s">
        <v>740</v>
      </c>
      <c r="C38" s="55" t="s">
        <v>741</v>
      </c>
      <c r="D38" s="56" t="n">
        <f aca="false">Historicos!G31</f>
        <v>0.0490000000001771</v>
      </c>
    </row>
    <row r="39" customFormat="false" ht="15" hidden="false" customHeight="false" outlineLevel="0" collapsed="false">
      <c r="A39" s="55" t="s">
        <v>742</v>
      </c>
      <c r="B39" s="55" t="s">
        <v>743</v>
      </c>
      <c r="C39" s="55" t="s">
        <v>744</v>
      </c>
      <c r="D39" s="56" t="n">
        <f aca="false">Historicos!G79</f>
        <v>0</v>
      </c>
    </row>
    <row r="40" customFormat="false" ht="15" hidden="false" customHeight="false" outlineLevel="0" collapsed="false">
      <c r="A40" s="55" t="s">
        <v>745</v>
      </c>
      <c r="B40" s="55" t="s">
        <v>746</v>
      </c>
      <c r="C40" s="55" t="s">
        <v>747</v>
      </c>
      <c r="D40" s="56" t="n">
        <f aca="false">Historicos!G87</f>
        <v>0.0469999999999118</v>
      </c>
    </row>
    <row r="41" customFormat="false" ht="15" hidden="false" customHeight="false" outlineLevel="0" collapsed="false">
      <c r="A41" s="55" t="s">
        <v>748</v>
      </c>
      <c r="B41" s="55" t="s">
        <v>749</v>
      </c>
      <c r="C41" s="55" t="s">
        <v>750</v>
      </c>
      <c r="D41" s="56" t="n">
        <f aca="false">Comparables!O15</f>
        <v>0.000455540204106847</v>
      </c>
    </row>
    <row r="42" customFormat="false" ht="15" hidden="false" customHeight="false" outlineLevel="0" collapsed="false">
      <c r="A42" s="55" t="s">
        <v>751</v>
      </c>
      <c r="B42" s="55" t="s">
        <v>752</v>
      </c>
      <c r="C42" s="55" t="s">
        <v>753</v>
      </c>
      <c r="D42" s="56" t="n">
        <f aca="false">Historicos!E110</f>
        <v>0.0984726652891788</v>
      </c>
    </row>
    <row r="43" customFormat="false" ht="15" hidden="false" customHeight="false" outlineLevel="0" collapsed="false">
      <c r="A43" s="55" t="s">
        <v>754</v>
      </c>
      <c r="B43" s="55" t="s">
        <v>394</v>
      </c>
      <c r="C43" s="55" t="s">
        <v>755</v>
      </c>
      <c r="D43" s="56" t="n">
        <f aca="false">Deuda!Q15</f>
        <v>0.376494028576417</v>
      </c>
    </row>
    <row r="44" customFormat="false" ht="15" hidden="false" customHeight="false" outlineLevel="0" collapsed="false">
      <c r="A44" s="55" t="s">
        <v>756</v>
      </c>
      <c r="B44" s="55" t="s">
        <v>757</v>
      </c>
      <c r="C44" s="55" t="s">
        <v>758</v>
      </c>
      <c r="D44" s="56" t="n">
        <f aca="false">Supuestos!C46</f>
        <v>41.6673186883831</v>
      </c>
    </row>
    <row r="45" customFormat="false" ht="15" hidden="false" customHeight="false" outlineLevel="0" collapsed="false">
      <c r="A45" s="55" t="s">
        <v>759</v>
      </c>
      <c r="B45" s="55" t="s">
        <v>760</v>
      </c>
      <c r="C45" s="55" t="s">
        <v>761</v>
      </c>
      <c r="D45" s="56" t="n">
        <f aca="false">Supuestos!C47</f>
        <v>154.360212300958</v>
      </c>
    </row>
    <row r="46" customFormat="false" ht="15" hidden="false" customHeight="false" outlineLevel="0" collapsed="false">
      <c r="A46" s="55" t="s">
        <v>762</v>
      </c>
      <c r="B46" s="55" t="s">
        <v>763</v>
      </c>
      <c r="C46" s="55" t="s">
        <v>764</v>
      </c>
      <c r="D46" s="56" t="n">
        <f aca="false">Supuestos!C45</f>
        <v>0.0750472987891317</v>
      </c>
    </row>
    <row r="47" customFormat="false" ht="15" hidden="false" customHeight="false" outlineLevel="0" collapsed="false">
      <c r="A47" s="55" t="s">
        <v>765</v>
      </c>
      <c r="B47" s="55" t="s">
        <v>766</v>
      </c>
      <c r="C47" s="55" t="s">
        <v>767</v>
      </c>
      <c r="D47" s="56" t="n">
        <f aca="false">Historicos!D93</f>
        <v>0</v>
      </c>
    </row>
    <row r="48" customFormat="false" ht="15" hidden="false" customHeight="false" outlineLevel="0" collapsed="false">
      <c r="A48" s="55" t="s">
        <v>768</v>
      </c>
      <c r="B48" s="55" t="s">
        <v>769</v>
      </c>
      <c r="C48" s="55" t="s">
        <v>770</v>
      </c>
      <c r="D48" s="56" t="n">
        <f aca="false">Historicos!E93</f>
        <v>-40.1900000000007</v>
      </c>
    </row>
    <row r="49" customFormat="false" ht="15" hidden="false" customHeight="false" outlineLevel="0" collapsed="false">
      <c r="A49" s="55" t="s">
        <v>771</v>
      </c>
      <c r="B49" s="55" t="s">
        <v>772</v>
      </c>
      <c r="C49" s="55" t="s">
        <v>773</v>
      </c>
      <c r="D49" s="56" t="n">
        <f aca="false">Historicos!D94</f>
        <v>68.8860000000004</v>
      </c>
    </row>
    <row r="50" customFormat="false" ht="15" hidden="false" customHeight="false" outlineLevel="0" collapsed="false">
      <c r="A50" s="55" t="s">
        <v>774</v>
      </c>
      <c r="B50" s="55" t="s">
        <v>775</v>
      </c>
      <c r="C50" s="55" t="s">
        <v>776</v>
      </c>
      <c r="D50" s="56" t="n">
        <f aca="false">Historicos!E94</f>
        <v>-137.070000000001</v>
      </c>
    </row>
    <row r="51" customFormat="false" ht="15" hidden="false" customHeight="false" outlineLevel="0" collapsed="false">
      <c r="A51" s="55" t="s">
        <v>777</v>
      </c>
      <c r="B51" s="55" t="s">
        <v>778</v>
      </c>
      <c r="C51" s="55" t="s">
        <v>779</v>
      </c>
      <c r="D51" s="56" t="n">
        <f aca="false">Supuestos!C50</f>
        <v>14.0121369868444</v>
      </c>
    </row>
    <row r="52" customFormat="false" ht="15" hidden="false" customHeight="false" outlineLevel="0" collapsed="false">
      <c r="A52" s="55" t="s">
        <v>780</v>
      </c>
      <c r="B52" s="55" t="s">
        <v>781</v>
      </c>
      <c r="C52" s="55" t="s">
        <v>782</v>
      </c>
      <c r="D52" s="56" t="n">
        <f aca="false">Supuestos!C48</f>
        <v>0.0138067509544899</v>
      </c>
    </row>
    <row r="53" customFormat="false" ht="15" hidden="false" customHeight="false" outlineLevel="0" collapsed="false">
      <c r="A53" s="55" t="s">
        <v>783</v>
      </c>
      <c r="B53" s="55" t="s">
        <v>784</v>
      </c>
      <c r="C53" s="55" t="s">
        <v>785</v>
      </c>
      <c r="D53" s="56" t="n">
        <f aca="false">Historicos!E150</f>
        <v>3816.50290135397</v>
      </c>
    </row>
    <row r="54" customFormat="false" ht="15" hidden="false" customHeight="false" outlineLevel="0" collapsed="false">
      <c r="A54" s="55" t="s">
        <v>786</v>
      </c>
      <c r="B54" s="55" t="s">
        <v>787</v>
      </c>
      <c r="C54" s="55" t="s">
        <v>788</v>
      </c>
      <c r="D54" s="56" t="n">
        <f aca="false">Historicos!E96</f>
        <v>4092.917</v>
      </c>
    </row>
    <row r="55" customFormat="false" ht="15" hidden="false" customHeight="false" outlineLevel="0" collapsed="false">
      <c r="A55" s="55" t="s">
        <v>789</v>
      </c>
      <c r="B55" s="55" t="s">
        <v>790</v>
      </c>
      <c r="C55" s="55" t="s">
        <v>791</v>
      </c>
      <c r="D55" s="56" t="n">
        <f aca="false">Comparables!E11</f>
        <v>0.400859495544593</v>
      </c>
    </row>
    <row r="56" customFormat="false" ht="15" hidden="false" customHeight="false" outlineLevel="0" collapsed="false">
      <c r="A56" s="55" t="s">
        <v>792</v>
      </c>
      <c r="B56" s="55" t="s">
        <v>793</v>
      </c>
      <c r="C56" s="55" t="s">
        <v>794</v>
      </c>
      <c r="D56" s="56" t="n">
        <f aca="false">Comparables!D11</f>
        <v>0.281211992040476</v>
      </c>
    </row>
    <row r="57" customFormat="false" ht="15" hidden="false" customHeight="false" outlineLevel="0" collapsed="false">
      <c r="A57" s="55" t="s">
        <v>795</v>
      </c>
      <c r="B57" s="55" t="s">
        <v>796</v>
      </c>
      <c r="C57" s="55" t="s">
        <v>797</v>
      </c>
      <c r="D57" s="56" t="n">
        <f aca="false">Comparables!D17</f>
        <v>0.391230778653045</v>
      </c>
    </row>
    <row r="58" customFormat="false" ht="15" hidden="false" customHeight="false" outlineLevel="0" collapsed="false">
      <c r="A58" s="55" t="s">
        <v>798</v>
      </c>
      <c r="B58" s="55" t="s">
        <v>799</v>
      </c>
      <c r="C58" s="55" t="s">
        <v>800</v>
      </c>
      <c r="D58" s="56" t="n">
        <f aca="false">Comparables!P7</f>
        <v>2.63857992666936</v>
      </c>
    </row>
    <row r="59" customFormat="false" ht="15" hidden="false" customHeight="false" outlineLevel="0" collapsed="false">
      <c r="A59" s="55" t="s">
        <v>801</v>
      </c>
      <c r="B59" s="55" t="s">
        <v>802</v>
      </c>
      <c r="C59" s="55" t="s">
        <v>803</v>
      </c>
      <c r="D59" s="56" t="n">
        <f aca="false">Comparables!P6</f>
        <v>19.0666855557132</v>
      </c>
    </row>
    <row r="60" customFormat="false" ht="15" hidden="false" customHeight="false" outlineLevel="0" collapsed="false">
      <c r="A60" s="55" t="s">
        <v>804</v>
      </c>
      <c r="B60" s="55" t="s">
        <v>805</v>
      </c>
      <c r="C60" s="55" t="s">
        <v>806</v>
      </c>
      <c r="D60" s="56" t="n">
        <f aca="false">Historicos!E13</f>
        <v>451.056000000001</v>
      </c>
    </row>
    <row r="61" customFormat="false" ht="15" hidden="false" customHeight="false" outlineLevel="0" collapsed="false">
      <c r="A61" s="55" t="s">
        <v>807</v>
      </c>
      <c r="B61" s="55" t="s">
        <v>808</v>
      </c>
      <c r="C61" s="55" t="s">
        <v>809</v>
      </c>
      <c r="D61" s="56" t="n">
        <f aca="false">Historicos!D97</f>
        <v>741.955</v>
      </c>
    </row>
    <row r="62" customFormat="false" ht="15" hidden="false" customHeight="false" outlineLevel="0" collapsed="false">
      <c r="A62" s="55" t="s">
        <v>810</v>
      </c>
      <c r="B62" s="55" t="s">
        <v>811</v>
      </c>
      <c r="C62" s="55" t="s">
        <v>812</v>
      </c>
      <c r="D62" s="56" t="n">
        <f aca="false">Historicos!E97</f>
        <v>525.815</v>
      </c>
    </row>
    <row r="63" customFormat="false" ht="15" hidden="false" customHeight="false" outlineLevel="0" collapsed="false">
      <c r="A63" s="55" t="s">
        <v>813</v>
      </c>
      <c r="B63" s="55" t="s">
        <v>814</v>
      </c>
      <c r="C63" s="55" t="s">
        <v>815</v>
      </c>
      <c r="D63" s="56" t="n">
        <f aca="false">Supuestos!C17</f>
        <v>0.157</v>
      </c>
    </row>
    <row r="64" customFormat="false" ht="15" hidden="false" customHeight="false" outlineLevel="0" collapsed="false">
      <c r="A64" s="55" t="s">
        <v>816</v>
      </c>
      <c r="B64" s="55" t="s">
        <v>817</v>
      </c>
      <c r="C64" s="55" t="s">
        <v>818</v>
      </c>
      <c r="D64" s="56" t="n">
        <f aca="false">Historicos!E7</f>
        <v>3946.264</v>
      </c>
    </row>
    <row r="65" customFormat="false" ht="15" hidden="false" customHeight="false" outlineLevel="0" collapsed="false">
      <c r="A65" s="55" t="s">
        <v>819</v>
      </c>
      <c r="B65" s="55" t="s">
        <v>820</v>
      </c>
      <c r="C65" s="55" t="s">
        <v>821</v>
      </c>
      <c r="D65" s="56" t="n">
        <f aca="false">Historicos!D102</f>
        <v>0.145966447415091</v>
      </c>
    </row>
    <row r="66" customFormat="false" ht="15" hidden="false" customHeight="false" outlineLevel="0" collapsed="false">
      <c r="A66" s="55" t="s">
        <v>822</v>
      </c>
      <c r="B66" s="55" t="s">
        <v>823</v>
      </c>
      <c r="C66" s="55" t="s">
        <v>824</v>
      </c>
      <c r="D66" s="56" t="n">
        <f aca="false">Historicos!E102</f>
        <v>0.136218798182056</v>
      </c>
    </row>
    <row r="67" customFormat="false" ht="15" hidden="false" customHeight="false" outlineLevel="0" collapsed="false">
      <c r="A67" s="55" t="s">
        <v>825</v>
      </c>
      <c r="B67" s="55" t="s">
        <v>826</v>
      </c>
      <c r="C67" s="55" t="s">
        <v>827</v>
      </c>
      <c r="D67" s="56" t="n">
        <f aca="false">Historicos!E143</f>
        <v>0.220170454545455</v>
      </c>
    </row>
    <row r="68" customFormat="false" ht="15" hidden="false" customHeight="false" outlineLevel="0" collapsed="false">
      <c r="A68" s="55" t="s">
        <v>828</v>
      </c>
      <c r="B68" s="55" t="s">
        <v>829</v>
      </c>
      <c r="C68" s="55" t="s">
        <v>830</v>
      </c>
      <c r="D68" s="56" t="n">
        <f aca="false">Historicos!C104</f>
        <v>0.229982859113128</v>
      </c>
    </row>
    <row r="69" customFormat="false" ht="15" hidden="false" customHeight="false" outlineLevel="0" collapsed="false">
      <c r="A69" s="55" t="s">
        <v>831</v>
      </c>
      <c r="B69" s="55" t="s">
        <v>832</v>
      </c>
      <c r="C69" s="55" t="s">
        <v>833</v>
      </c>
      <c r="D69" s="56" t="n">
        <f aca="false">Historicos!D104</f>
        <v>0.249055397757946</v>
      </c>
    </row>
    <row r="70" customFormat="false" ht="15" hidden="false" customHeight="false" outlineLevel="0" collapsed="false">
      <c r="A70" s="55" t="s">
        <v>834</v>
      </c>
      <c r="B70" s="55" t="s">
        <v>835</v>
      </c>
      <c r="C70" s="55" t="s">
        <v>836</v>
      </c>
      <c r="D70" s="56" t="n">
        <f aca="false">Historicos!E104</f>
        <v>0.261848928505544</v>
      </c>
    </row>
    <row r="71" customFormat="false" ht="15" hidden="false" customHeight="false" outlineLevel="0" collapsed="false">
      <c r="A71" s="55" t="s">
        <v>837</v>
      </c>
      <c r="B71" s="55" t="s">
        <v>838</v>
      </c>
      <c r="C71" s="55" t="s">
        <v>839</v>
      </c>
      <c r="D71" s="56" t="n">
        <f aca="false">Historicos!G104</f>
        <v>0.316</v>
      </c>
    </row>
    <row r="72" customFormat="false" ht="15" hidden="false" customHeight="false" outlineLevel="0" collapsed="false">
      <c r="A72" s="55" t="s">
        <v>840</v>
      </c>
      <c r="B72" s="55" t="s">
        <v>841</v>
      </c>
      <c r="C72" s="55" t="s">
        <v>842</v>
      </c>
      <c r="D72" s="56" t="n">
        <f aca="false">Historicos!C105</f>
        <v>0.0682768211986082</v>
      </c>
    </row>
    <row r="73" customFormat="false" ht="15" hidden="false" customHeight="false" outlineLevel="0" collapsed="false">
      <c r="A73" s="55" t="s">
        <v>843</v>
      </c>
      <c r="B73" s="55" t="s">
        <v>844</v>
      </c>
      <c r="C73" s="55" t="s">
        <v>845</v>
      </c>
      <c r="D73" s="56" t="n">
        <f aca="false">Historicos!D105</f>
        <v>0.0891071662508583</v>
      </c>
    </row>
    <row r="74" customFormat="false" ht="15" hidden="false" customHeight="false" outlineLevel="0" collapsed="false">
      <c r="A74" s="55" t="s">
        <v>846</v>
      </c>
      <c r="B74" s="55" t="s">
        <v>847</v>
      </c>
      <c r="C74" s="55" t="s">
        <v>848</v>
      </c>
      <c r="D74" s="56" t="n">
        <f aca="false">Historicos!E105</f>
        <v>0.11429949947596</v>
      </c>
    </row>
    <row r="75" customFormat="false" ht="15" hidden="false" customHeight="false" outlineLevel="0" collapsed="false">
      <c r="A75" s="55" t="s">
        <v>849</v>
      </c>
      <c r="B75" s="55" t="s">
        <v>850</v>
      </c>
      <c r="C75" s="55" t="s">
        <v>851</v>
      </c>
      <c r="D75" s="56" t="n">
        <f aca="false">Historicos!G105</f>
        <v>0.156</v>
      </c>
    </row>
    <row r="76" customFormat="false" ht="15" hidden="false" customHeight="false" outlineLevel="0" collapsed="false">
      <c r="A76" s="55" t="s">
        <v>852</v>
      </c>
      <c r="B76" s="55" t="s">
        <v>853</v>
      </c>
      <c r="C76" s="55" t="s">
        <v>854</v>
      </c>
      <c r="D76" s="56" t="n">
        <f aca="false">Historicos!E130</f>
        <v>0.147549429029583</v>
      </c>
    </row>
    <row r="77" customFormat="false" ht="15" hidden="false" customHeight="false" outlineLevel="0" collapsed="false">
      <c r="A77" s="55" t="s">
        <v>855</v>
      </c>
      <c r="B77" s="55" t="s">
        <v>856</v>
      </c>
      <c r="C77" s="55" t="s">
        <v>857</v>
      </c>
      <c r="D77" s="56" t="n">
        <f aca="false">Historicos!C106</f>
        <v>0.0511260358358368</v>
      </c>
    </row>
    <row r="78" customFormat="false" ht="15" hidden="false" customHeight="false" outlineLevel="0" collapsed="false">
      <c r="A78" s="55" t="s">
        <v>858</v>
      </c>
      <c r="B78" s="55" t="s">
        <v>859</v>
      </c>
      <c r="C78" s="55" t="s">
        <v>860</v>
      </c>
      <c r="D78" s="56" t="n">
        <f aca="false">Historicos!D106</f>
        <v>0.0516792368898018</v>
      </c>
    </row>
    <row r="79" customFormat="false" ht="15" hidden="false" customHeight="false" outlineLevel="0" collapsed="false">
      <c r="A79" s="55" t="s">
        <v>861</v>
      </c>
      <c r="B79" s="55" t="s">
        <v>862</v>
      </c>
      <c r="C79" s="55" t="s">
        <v>863</v>
      </c>
      <c r="D79" s="56" t="n">
        <f aca="false">Historicos!E106</f>
        <v>0.0797549276987045</v>
      </c>
    </row>
    <row r="80" customFormat="false" ht="15" hidden="false" customHeight="false" outlineLevel="0" collapsed="false">
      <c r="A80" s="55" t="s">
        <v>864</v>
      </c>
      <c r="B80" s="55" t="s">
        <v>865</v>
      </c>
      <c r="C80" s="55" t="s">
        <v>866</v>
      </c>
      <c r="D80" s="56" t="n">
        <f aca="false">Historicos!G106</f>
        <v>0.066</v>
      </c>
    </row>
    <row r="81" customFormat="false" ht="15" hidden="false" customHeight="false" outlineLevel="0" collapsed="false">
      <c r="A81" s="55" t="s">
        <v>867</v>
      </c>
      <c r="B81" s="55" t="s">
        <v>868</v>
      </c>
      <c r="C81" s="55" t="s">
        <v>869</v>
      </c>
      <c r="D81" s="56" t="n">
        <f aca="false">Historicos!C109</f>
        <v>0.0286086289123824</v>
      </c>
    </row>
    <row r="82" customFormat="false" ht="15" hidden="false" customHeight="false" outlineLevel="0" collapsed="false">
      <c r="A82" s="55" t="s">
        <v>870</v>
      </c>
      <c r="B82" s="55" t="s">
        <v>871</v>
      </c>
      <c r="C82" s="55" t="s">
        <v>872</v>
      </c>
      <c r="D82" s="56" t="n">
        <f aca="false">Historicos!D109</f>
        <v>0.0315969254038646</v>
      </c>
    </row>
    <row r="83" customFormat="false" ht="15" hidden="false" customHeight="false" outlineLevel="0" collapsed="false">
      <c r="A83" s="55" t="s">
        <v>873</v>
      </c>
      <c r="B83" s="55" t="s">
        <v>874</v>
      </c>
      <c r="C83" s="55" t="s">
        <v>875</v>
      </c>
      <c r="D83" s="56" t="n">
        <f aca="false">Historicos!E109</f>
        <v>0.0560835827746668</v>
      </c>
    </row>
    <row r="84" customFormat="false" ht="15" hidden="false" customHeight="false" outlineLevel="0" collapsed="false">
      <c r="A84" s="55" t="s">
        <v>876</v>
      </c>
      <c r="B84" s="55" t="s">
        <v>877</v>
      </c>
      <c r="C84" s="55" t="s">
        <v>878</v>
      </c>
      <c r="D84" s="56" t="n">
        <f aca="false">Historicos!C110</f>
        <v>0.0565300444576105</v>
      </c>
    </row>
    <row r="85" customFormat="false" ht="15" hidden="false" customHeight="false" outlineLevel="0" collapsed="false">
      <c r="A85" s="55" t="s">
        <v>879</v>
      </c>
      <c r="B85" s="55" t="s">
        <v>880</v>
      </c>
      <c r="C85" s="55" t="s">
        <v>881</v>
      </c>
      <c r="D85" s="56" t="n">
        <f aca="false">Historicos!D110</f>
        <v>0.0599643401099595</v>
      </c>
    </row>
    <row r="86" customFormat="false" ht="15" hidden="false" customHeight="false" outlineLevel="0" collapsed="false">
      <c r="A86" s="55" t="s">
        <v>882</v>
      </c>
      <c r="B86" s="55" t="s">
        <v>338</v>
      </c>
      <c r="C86" s="55" t="s">
        <v>883</v>
      </c>
      <c r="D86" s="56" t="n">
        <f aca="false">Costo_Capital!C15</f>
        <v>0.0930326869985865</v>
      </c>
    </row>
    <row r="87" customFormat="false" ht="15" hidden="false" customHeight="false" outlineLevel="0" collapsed="false">
      <c r="A87" s="55" t="s">
        <v>884</v>
      </c>
      <c r="B87" s="55" t="s">
        <v>885</v>
      </c>
      <c r="C87" s="55" t="s">
        <v>886</v>
      </c>
      <c r="D87" s="56" t="n">
        <f aca="false">Historicos!C111</f>
        <v>0.0320209066691975</v>
      </c>
    </row>
    <row r="88" customFormat="false" ht="15" hidden="false" customHeight="false" outlineLevel="0" collapsed="false">
      <c r="A88" s="55" t="s">
        <v>887</v>
      </c>
      <c r="B88" s="55" t="s">
        <v>888</v>
      </c>
      <c r="C88" s="55" t="s">
        <v>889</v>
      </c>
      <c r="D88" s="56" t="n">
        <f aca="false">Historicos!D111</f>
        <v>0.0460755243394858</v>
      </c>
    </row>
    <row r="89" customFormat="false" ht="15" hidden="false" customHeight="false" outlineLevel="0" collapsed="false">
      <c r="A89" s="55" t="s">
        <v>890</v>
      </c>
      <c r="B89" s="55" t="s">
        <v>891</v>
      </c>
      <c r="C89" s="55" t="s">
        <v>892</v>
      </c>
      <c r="D89" s="56" t="n">
        <f aca="false">Historicos!E111</f>
        <v>0.064460375724464</v>
      </c>
    </row>
    <row r="90" customFormat="false" ht="15" hidden="false" customHeight="false" outlineLevel="0" collapsed="false">
      <c r="A90" s="55" t="s">
        <v>893</v>
      </c>
      <c r="B90" s="55" t="s">
        <v>894</v>
      </c>
      <c r="C90" s="55" t="s">
        <v>895</v>
      </c>
      <c r="D90" s="56" t="n">
        <f aca="false">Historicos!C112</f>
        <v>43.0416874947414</v>
      </c>
    </row>
    <row r="91" customFormat="false" ht="15" hidden="false" customHeight="false" outlineLevel="0" collapsed="false">
      <c r="A91" s="55" t="s">
        <v>896</v>
      </c>
      <c r="B91" s="55" t="s">
        <v>897</v>
      </c>
      <c r="C91" s="55" t="s">
        <v>898</v>
      </c>
      <c r="D91" s="56" t="n">
        <f aca="false">Historicos!D112</f>
        <v>42.2318266820801</v>
      </c>
    </row>
    <row r="92" customFormat="false" ht="15" hidden="false" customHeight="false" outlineLevel="0" collapsed="false">
      <c r="A92" s="55" t="s">
        <v>899</v>
      </c>
      <c r="B92" s="55" t="s">
        <v>900</v>
      </c>
      <c r="C92" s="55" t="s">
        <v>901</v>
      </c>
      <c r="D92" s="56" t="n">
        <f aca="false">Historicos!E112</f>
        <v>39.7284418883278</v>
      </c>
    </row>
    <row r="93" customFormat="false" ht="15" hidden="false" customHeight="false" outlineLevel="0" collapsed="false">
      <c r="A93" s="55" t="s">
        <v>902</v>
      </c>
      <c r="B93" s="55" t="s">
        <v>903</v>
      </c>
      <c r="C93" s="55" t="s">
        <v>904</v>
      </c>
      <c r="D93" s="56" t="n">
        <f aca="false">Historicos!C114</f>
        <v>65.2212079954838</v>
      </c>
    </row>
    <row r="94" customFormat="false" ht="15" hidden="false" customHeight="false" outlineLevel="0" collapsed="false">
      <c r="A94" s="55" t="s">
        <v>905</v>
      </c>
      <c r="B94" s="55" t="s">
        <v>906</v>
      </c>
      <c r="C94" s="55" t="s">
        <v>907</v>
      </c>
      <c r="D94" s="56" t="n">
        <f aca="false">Historicos!D114</f>
        <v>74.1568246256392</v>
      </c>
    </row>
    <row r="95" customFormat="false" ht="15" hidden="false" customHeight="false" outlineLevel="0" collapsed="false">
      <c r="A95" s="55" t="s">
        <v>908</v>
      </c>
      <c r="B95" s="55" t="s">
        <v>909</v>
      </c>
      <c r="C95" s="55" t="s">
        <v>910</v>
      </c>
      <c r="D95" s="56" t="n">
        <f aca="false">Historicos!E114</f>
        <v>56.7869108516537</v>
      </c>
    </row>
    <row r="96" customFormat="false" ht="15" hidden="false" customHeight="false" outlineLevel="0" collapsed="false">
      <c r="A96" s="55" t="s">
        <v>911</v>
      </c>
      <c r="B96" s="55" t="s">
        <v>912</v>
      </c>
      <c r="C96" s="55" t="s">
        <v>913</v>
      </c>
      <c r="D96" s="56" t="n">
        <f aca="false">Historicos!C117</f>
        <v>39.1996198378483</v>
      </c>
    </row>
    <row r="97" customFormat="false" ht="15" hidden="false" customHeight="false" outlineLevel="0" collapsed="false">
      <c r="A97" s="55" t="s">
        <v>914</v>
      </c>
      <c r="B97" s="55" t="s">
        <v>915</v>
      </c>
      <c r="C97" s="55" t="s">
        <v>916</v>
      </c>
      <c r="D97" s="56" t="n">
        <f aca="false">Historicos!D117</f>
        <v>35.1795968555453</v>
      </c>
    </row>
    <row r="98" customFormat="false" ht="15" hidden="false" customHeight="false" outlineLevel="0" collapsed="false">
      <c r="A98" s="55" t="s">
        <v>917</v>
      </c>
      <c r="B98" s="55" t="s">
        <v>918</v>
      </c>
      <c r="C98" s="55" t="s">
        <v>919</v>
      </c>
      <c r="D98" s="56" t="n">
        <f aca="false">Historicos!E117</f>
        <v>32.2302526760773</v>
      </c>
    </row>
    <row r="99" customFormat="false" ht="15" hidden="false" customHeight="false" outlineLevel="0" collapsed="false">
      <c r="A99" s="55" t="s">
        <v>920</v>
      </c>
      <c r="B99" s="55" t="s">
        <v>921</v>
      </c>
      <c r="C99" s="55" t="s">
        <v>922</v>
      </c>
      <c r="D99" s="56" t="n">
        <f aca="false">Historicos!C120</f>
        <v>69.0632756523769</v>
      </c>
    </row>
    <row r="100" customFormat="false" ht="15" hidden="false" customHeight="false" outlineLevel="0" collapsed="false">
      <c r="A100" s="55" t="s">
        <v>923</v>
      </c>
      <c r="B100" s="55" t="s">
        <v>924</v>
      </c>
      <c r="C100" s="55" t="s">
        <v>925</v>
      </c>
      <c r="D100" s="56" t="n">
        <f aca="false">Historicos!D120</f>
        <v>81.2090544521739</v>
      </c>
    </row>
    <row r="101" customFormat="false" ht="15" hidden="false" customHeight="false" outlineLevel="0" collapsed="false">
      <c r="A101" s="55" t="s">
        <v>926</v>
      </c>
      <c r="B101" s="55" t="s">
        <v>927</v>
      </c>
      <c r="C101" s="55" t="s">
        <v>928</v>
      </c>
      <c r="D101" s="56" t="n">
        <f aca="false">Historicos!E120</f>
        <v>64.2851000639042</v>
      </c>
    </row>
    <row r="102" customFormat="false" ht="15" hidden="false" customHeight="false" outlineLevel="0" collapsed="false">
      <c r="A102" s="55" t="s">
        <v>929</v>
      </c>
      <c r="B102" s="55" t="s">
        <v>930</v>
      </c>
      <c r="C102" s="55" t="s">
        <v>931</v>
      </c>
      <c r="D102" s="56" t="n">
        <f aca="false">Historicos!E192</f>
        <v>114.615</v>
      </c>
    </row>
    <row r="103" customFormat="false" ht="15" hidden="false" customHeight="false" outlineLevel="0" collapsed="false">
      <c r="A103" s="55" t="s">
        <v>932</v>
      </c>
      <c r="B103" s="55" t="s">
        <v>933</v>
      </c>
      <c r="C103" s="55" t="s">
        <v>934</v>
      </c>
      <c r="D103" s="56" t="n">
        <f aca="false">Historicos!C122</f>
        <v>0.559570646240662</v>
      </c>
    </row>
    <row r="104" customFormat="false" ht="15" hidden="false" customHeight="false" outlineLevel="0" collapsed="false">
      <c r="A104" s="55" t="s">
        <v>935</v>
      </c>
      <c r="B104" s="55" t="s">
        <v>936</v>
      </c>
      <c r="C104" s="55" t="s">
        <v>937</v>
      </c>
      <c r="D104" s="56" t="n">
        <f aca="false">Historicos!D122</f>
        <v>0.611404643440078</v>
      </c>
    </row>
    <row r="105" customFormat="false" ht="15" hidden="false" customHeight="false" outlineLevel="0" collapsed="false">
      <c r="A105" s="55" t="s">
        <v>938</v>
      </c>
      <c r="B105" s="55" t="s">
        <v>939</v>
      </c>
      <c r="C105" s="55" t="s">
        <v>940</v>
      </c>
      <c r="D105" s="56" t="n">
        <f aca="false">Historicos!E122</f>
        <v>0.703198967047371</v>
      </c>
    </row>
    <row r="106" customFormat="false" ht="15" hidden="false" customHeight="false" outlineLevel="0" collapsed="false">
      <c r="A106" s="55" t="s">
        <v>941</v>
      </c>
      <c r="B106" s="55" t="s">
        <v>942</v>
      </c>
      <c r="C106" s="55" t="s">
        <v>943</v>
      </c>
      <c r="D106" s="56" t="n">
        <f aca="false">Historicos!C123</f>
        <v>0.814649000107134</v>
      </c>
    </row>
    <row r="107" customFormat="false" ht="15" hidden="false" customHeight="false" outlineLevel="0" collapsed="false">
      <c r="A107" s="55" t="s">
        <v>944</v>
      </c>
      <c r="B107" s="55" t="s">
        <v>945</v>
      </c>
      <c r="C107" s="55" t="s">
        <v>946</v>
      </c>
      <c r="D107" s="56" t="n">
        <f aca="false">Historicos!D123</f>
        <v>0.997908277013225</v>
      </c>
    </row>
    <row r="108" customFormat="false" ht="15" hidden="false" customHeight="false" outlineLevel="0" collapsed="false">
      <c r="A108" s="55" t="s">
        <v>947</v>
      </c>
      <c r="B108" s="55" t="s">
        <v>948</v>
      </c>
      <c r="C108" s="55" t="s">
        <v>949</v>
      </c>
      <c r="D108" s="56" t="n">
        <f aca="false">Historicos!E123</f>
        <v>1.37983063105406</v>
      </c>
    </row>
    <row r="109" customFormat="false" ht="15" hidden="false" customHeight="false" outlineLevel="0" collapsed="false">
      <c r="A109" s="55" t="s">
        <v>950</v>
      </c>
      <c r="B109" s="55" t="s">
        <v>951</v>
      </c>
      <c r="C109" s="55" t="s">
        <v>952</v>
      </c>
      <c r="D109" s="56" t="n">
        <f aca="false">Historicos!C125</f>
        <v>0.414581994120476</v>
      </c>
    </row>
    <row r="110" customFormat="false" ht="15" hidden="false" customHeight="false" outlineLevel="0" collapsed="false">
      <c r="A110" s="55" t="s">
        <v>953</v>
      </c>
      <c r="B110" s="55" t="s">
        <v>954</v>
      </c>
      <c r="C110" s="55" t="s">
        <v>955</v>
      </c>
      <c r="D110" s="56" t="n">
        <f aca="false">Historicos!D125</f>
        <v>0.346389026883227</v>
      </c>
    </row>
    <row r="111" customFormat="false" ht="15" hidden="false" customHeight="false" outlineLevel="0" collapsed="false">
      <c r="A111" s="55" t="s">
        <v>956</v>
      </c>
      <c r="B111" s="55" t="s">
        <v>957</v>
      </c>
      <c r="C111" s="55" t="s">
        <v>958</v>
      </c>
      <c r="D111" s="56" t="n">
        <f aca="false">Historicos!E125</f>
        <v>0.313593266411277</v>
      </c>
    </row>
    <row r="112" customFormat="false" ht="15" hidden="false" customHeight="false" outlineLevel="0" collapsed="false">
      <c r="A112" s="55" t="s">
        <v>959</v>
      </c>
      <c r="B112" s="55" t="s">
        <v>960</v>
      </c>
      <c r="C112" s="55" t="s">
        <v>961</v>
      </c>
      <c r="D112" s="56" t="n">
        <f aca="false">Historicos!G125</f>
        <v>0.400859495544593</v>
      </c>
    </row>
    <row r="113" customFormat="false" ht="15" hidden="false" customHeight="false" outlineLevel="0" collapsed="false">
      <c r="A113" s="55" t="s">
        <v>962</v>
      </c>
      <c r="B113" s="55" t="s">
        <v>963</v>
      </c>
      <c r="C113" s="55" t="s">
        <v>964</v>
      </c>
      <c r="D113" s="56" t="n">
        <f aca="false">Historicos!C126</f>
        <v>1.63033841015517</v>
      </c>
    </row>
    <row r="114" customFormat="false" ht="15" hidden="false" customHeight="false" outlineLevel="0" collapsed="false">
      <c r="A114" s="55" t="s">
        <v>965</v>
      </c>
      <c r="B114" s="55" t="s">
        <v>966</v>
      </c>
      <c r="C114" s="55" t="s">
        <v>967</v>
      </c>
      <c r="D114" s="56" t="n">
        <f aca="false">Historicos!D126</f>
        <v>1.19864671771822</v>
      </c>
    </row>
    <row r="115" customFormat="false" ht="15" hidden="false" customHeight="false" outlineLevel="0" collapsed="false">
      <c r="A115" s="55" t="s">
        <v>968</v>
      </c>
      <c r="B115" s="55" t="s">
        <v>969</v>
      </c>
      <c r="C115" s="55" t="s">
        <v>970</v>
      </c>
      <c r="D115" s="56" t="n">
        <f aca="false">Historicos!E126</f>
        <v>0.969968790070887</v>
      </c>
    </row>
    <row r="116" customFormat="false" ht="15" hidden="false" customHeight="false" outlineLevel="0" collapsed="false">
      <c r="A116" s="55" t="s">
        <v>971</v>
      </c>
      <c r="B116" s="55" t="s">
        <v>972</v>
      </c>
      <c r="C116" s="55" t="s">
        <v>973</v>
      </c>
      <c r="D116" s="56" t="n">
        <f aca="false">Historicos!C127</f>
        <v>8.21313349122745</v>
      </c>
    </row>
    <row r="117" customFormat="false" ht="15" hidden="false" customHeight="false" outlineLevel="0" collapsed="false">
      <c r="A117" s="55" t="s">
        <v>974</v>
      </c>
      <c r="B117" s="55" t="s">
        <v>975</v>
      </c>
      <c r="C117" s="55" t="s">
        <v>976</v>
      </c>
      <c r="D117" s="56" t="n">
        <f aca="false">Historicos!D127</f>
        <v>9.23423788884855</v>
      </c>
    </row>
    <row r="118" customFormat="false" ht="15" hidden="false" customHeight="false" outlineLevel="0" collapsed="false">
      <c r="A118" s="55" t="s">
        <v>977</v>
      </c>
      <c r="B118" s="55" t="s">
        <v>978</v>
      </c>
      <c r="C118" s="55" t="s">
        <v>979</v>
      </c>
      <c r="D118" s="56" t="n">
        <f aca="false">Historicos!E127</f>
        <v>12.2028484039727</v>
      </c>
    </row>
    <row r="119" customFormat="false" ht="15" hidden="false" customHeight="false" outlineLevel="0" collapsed="false">
      <c r="A119" s="55" t="s">
        <v>980</v>
      </c>
      <c r="B119" s="55" t="s">
        <v>981</v>
      </c>
      <c r="C119" s="55" t="s">
        <v>982</v>
      </c>
      <c r="D119" s="56" t="n">
        <f aca="false">Historicos!C128</f>
        <v>0.00956953112498</v>
      </c>
    </row>
    <row r="120" customFormat="false" ht="15" hidden="false" customHeight="false" outlineLevel="0" collapsed="false">
      <c r="A120" s="55" t="s">
        <v>983</v>
      </c>
      <c r="B120" s="55" t="s">
        <v>984</v>
      </c>
      <c r="C120" s="55" t="s">
        <v>985</v>
      </c>
      <c r="D120" s="56" t="n">
        <f aca="false">Historicos!D128</f>
        <v>0.081180079783367</v>
      </c>
    </row>
    <row r="121" customFormat="false" ht="15" hidden="false" customHeight="false" outlineLevel="0" collapsed="false">
      <c r="A121" s="55" t="s">
        <v>986</v>
      </c>
      <c r="B121" s="55" t="s">
        <v>987</v>
      </c>
      <c r="C121" s="55" t="s">
        <v>988</v>
      </c>
      <c r="D121" s="56" t="n">
        <f aca="false">Historicos!E128</f>
        <v>0.0559731938866736</v>
      </c>
    </row>
    <row r="122" customFormat="false" ht="15" hidden="false" customHeight="false" outlineLevel="0" collapsed="false">
      <c r="A122" s="55" t="s">
        <v>989</v>
      </c>
      <c r="B122" s="55" t="s">
        <v>990</v>
      </c>
      <c r="C122" s="55" t="s">
        <v>991</v>
      </c>
      <c r="D122" s="56" t="n">
        <f aca="false">Historicos!C140</f>
        <v>0.072384</v>
      </c>
    </row>
    <row r="123" customFormat="false" ht="15" hidden="false" customHeight="false" outlineLevel="0" collapsed="false">
      <c r="A123" s="55" t="s">
        <v>992</v>
      </c>
      <c r="B123" s="55" t="s">
        <v>993</v>
      </c>
      <c r="C123" s="55" t="s">
        <v>994</v>
      </c>
      <c r="D123" s="56" t="n">
        <f aca="false">Historicos!D140</f>
        <v>0.0670880681818182</v>
      </c>
    </row>
    <row r="124" customFormat="false" ht="15" hidden="false" customHeight="false" outlineLevel="0" collapsed="false">
      <c r="A124" s="55" t="s">
        <v>995</v>
      </c>
      <c r="B124" s="55" t="s">
        <v>996</v>
      </c>
      <c r="C124" s="55" t="s">
        <v>997</v>
      </c>
      <c r="D124" s="56" t="n">
        <f aca="false">Historicos!E140</f>
        <v>0.0595227008149011</v>
      </c>
    </row>
    <row r="125" customFormat="false" ht="15" hidden="false" customHeight="false" outlineLevel="0" collapsed="false">
      <c r="A125" s="55" t="s">
        <v>998</v>
      </c>
      <c r="B125" s="55" t="s">
        <v>999</v>
      </c>
      <c r="C125" s="55" t="s">
        <v>1000</v>
      </c>
      <c r="D125" s="56" t="n">
        <f aca="false">Historicos!E141</f>
        <v>-0.112767703288369</v>
      </c>
    </row>
    <row r="126" customFormat="false" ht="15" hidden="false" customHeight="false" outlineLevel="0" collapsed="false">
      <c r="A126" s="55" t="s">
        <v>1001</v>
      </c>
      <c r="B126" s="55" t="s">
        <v>1002</v>
      </c>
      <c r="C126" s="55" t="s">
        <v>1003</v>
      </c>
      <c r="D126" s="56" t="n">
        <f aca="false">Historicos!C135</f>
        <v>372</v>
      </c>
    </row>
    <row r="127" customFormat="false" ht="15" hidden="false" customHeight="false" outlineLevel="0" collapsed="false">
      <c r="A127" s="55" t="s">
        <v>1004</v>
      </c>
      <c r="B127" s="55" t="s">
        <v>1005</v>
      </c>
      <c r="C127" s="55" t="s">
        <v>1006</v>
      </c>
      <c r="D127" s="56" t="n">
        <f aca="false">Historicos!D135</f>
        <v>385</v>
      </c>
    </row>
    <row r="128" customFormat="false" ht="15" hidden="false" customHeight="false" outlineLevel="0" collapsed="false">
      <c r="A128" s="55" t="s">
        <v>1007</v>
      </c>
      <c r="B128" s="55" t="s">
        <v>1008</v>
      </c>
      <c r="C128" s="55" t="s">
        <v>1009</v>
      </c>
      <c r="D128" s="56" t="n">
        <f aca="false">Historicos!E135</f>
        <v>487</v>
      </c>
    </row>
    <row r="129" customFormat="false" ht="15" hidden="false" customHeight="false" outlineLevel="0" collapsed="false">
      <c r="A129" s="55" t="s">
        <v>1010</v>
      </c>
      <c r="B129" s="55" t="s">
        <v>1011</v>
      </c>
      <c r="C129" s="55" t="s">
        <v>1012</v>
      </c>
      <c r="D129" s="56" t="n">
        <f aca="false">Historicos!E142</f>
        <v>0.264935064935065</v>
      </c>
    </row>
    <row r="130" customFormat="false" ht="15" hidden="false" customHeight="false" outlineLevel="0" collapsed="false">
      <c r="A130" s="55" t="s">
        <v>1013</v>
      </c>
      <c r="B130" s="55" t="s">
        <v>1014</v>
      </c>
      <c r="C130" s="55" t="s">
        <v>1015</v>
      </c>
      <c r="D130" s="56" t="n">
        <f aca="false">Historicos!C138</f>
        <v>0.021</v>
      </c>
    </row>
    <row r="131" customFormat="false" ht="15" hidden="false" customHeight="false" outlineLevel="0" collapsed="false">
      <c r="A131" s="55" t="s">
        <v>1016</v>
      </c>
      <c r="B131" s="55" t="s">
        <v>1017</v>
      </c>
      <c r="C131" s="55" t="s">
        <v>1018</v>
      </c>
      <c r="D131" s="56" t="n">
        <f aca="false">Historicos!D138</f>
        <v>0.021</v>
      </c>
    </row>
    <row r="132" customFormat="false" ht="15" hidden="false" customHeight="false" outlineLevel="0" collapsed="false">
      <c r="A132" s="55" t="s">
        <v>1019</v>
      </c>
      <c r="B132" s="55" t="s">
        <v>1020</v>
      </c>
      <c r="C132" s="55" t="s">
        <v>1021</v>
      </c>
      <c r="D132" s="56" t="n">
        <f aca="false">Historicos!E138</f>
        <v>0.017</v>
      </c>
    </row>
    <row r="133" customFormat="false" ht="15" hidden="false" customHeight="false" outlineLevel="0" collapsed="false">
      <c r="A133" s="55" t="s">
        <v>1022</v>
      </c>
      <c r="B133" s="55" t="s">
        <v>1023</v>
      </c>
      <c r="C133" s="55" t="s">
        <v>1024</v>
      </c>
      <c r="D133" s="56" t="n">
        <f aca="false">Historicos!D170</f>
        <v>179.49</v>
      </c>
    </row>
    <row r="134" customFormat="false" ht="15" hidden="false" customHeight="false" outlineLevel="0" collapsed="false">
      <c r="A134" s="55" t="s">
        <v>1025</v>
      </c>
      <c r="B134" s="55" t="s">
        <v>1026</v>
      </c>
      <c r="C134" s="55" t="s">
        <v>1027</v>
      </c>
      <c r="D134" s="56" t="n">
        <f aca="false">Historicos!E170</f>
        <v>314.734000000001</v>
      </c>
    </row>
    <row r="135" customFormat="false" ht="15" hidden="false" customHeight="false" outlineLevel="0" collapsed="false">
      <c r="A135" s="55" t="s">
        <v>1028</v>
      </c>
      <c r="B135" s="55" t="s">
        <v>1029</v>
      </c>
      <c r="C135" s="55" t="s">
        <v>1030</v>
      </c>
      <c r="D135" s="56" t="n">
        <f aca="false">Historicos!D171</f>
        <v>555.525</v>
      </c>
    </row>
    <row r="136" customFormat="false" ht="15" hidden="false" customHeight="false" outlineLevel="0" collapsed="false">
      <c r="A136" s="55" t="s">
        <v>1031</v>
      </c>
      <c r="B136" s="55" t="s">
        <v>1032</v>
      </c>
      <c r="C136" s="55" t="s">
        <v>1033</v>
      </c>
      <c r="D136" s="56" t="n">
        <f aca="false">Historicos!E171</f>
        <v>582.269</v>
      </c>
    </row>
    <row r="137" customFormat="false" ht="15" hidden="false" customHeight="false" outlineLevel="0" collapsed="false">
      <c r="A137" s="55" t="s">
        <v>1034</v>
      </c>
      <c r="B137" s="55" t="s">
        <v>1035</v>
      </c>
      <c r="C137" s="55" t="s">
        <v>1036</v>
      </c>
      <c r="D137" s="56" t="n">
        <f aca="false">Historicos!D176</f>
        <v>726.767</v>
      </c>
    </row>
    <row r="138" customFormat="false" ht="15" hidden="false" customHeight="false" outlineLevel="0" collapsed="false">
      <c r="A138" s="55" t="s">
        <v>1037</v>
      </c>
      <c r="B138" s="55" t="s">
        <v>1038</v>
      </c>
      <c r="C138" s="55" t="s">
        <v>1039</v>
      </c>
      <c r="D138" s="56" t="n">
        <f aca="false">Historicos!E176</f>
        <v>862.029000000001</v>
      </c>
    </row>
    <row r="139" customFormat="false" ht="15" hidden="false" customHeight="false" outlineLevel="0" collapsed="false">
      <c r="A139" s="55" t="s">
        <v>1040</v>
      </c>
      <c r="B139" s="55" t="s">
        <v>1041</v>
      </c>
      <c r="C139" s="55" t="s">
        <v>1042</v>
      </c>
      <c r="D139" s="56" t="n">
        <f aca="false">Historicos!D181</f>
        <v>-753.914</v>
      </c>
    </row>
    <row r="140" customFormat="false" ht="15" hidden="false" customHeight="false" outlineLevel="0" collapsed="false">
      <c r="A140" s="55" t="s">
        <v>1043</v>
      </c>
      <c r="B140" s="55" t="s">
        <v>1044</v>
      </c>
      <c r="C140" s="55" t="s">
        <v>1045</v>
      </c>
      <c r="D140" s="56" t="n">
        <f aca="false">Historicos!E181</f>
        <v>-302.005</v>
      </c>
    </row>
    <row r="141" customFormat="false" ht="15" hidden="false" customHeight="false" outlineLevel="0" collapsed="false">
      <c r="A141" s="55" t="s">
        <v>1046</v>
      </c>
      <c r="B141" s="55" t="s">
        <v>1047</v>
      </c>
      <c r="C141" s="55" t="s">
        <v>1048</v>
      </c>
      <c r="D141" s="56" t="n">
        <f aca="false">Historicos!D187</f>
        <v>31.0560000000003</v>
      </c>
    </row>
    <row r="142" customFormat="false" ht="15" hidden="false" customHeight="false" outlineLevel="0" collapsed="false">
      <c r="A142" s="55" t="s">
        <v>1049</v>
      </c>
      <c r="B142" s="55" t="s">
        <v>1050</v>
      </c>
      <c r="C142" s="55" t="s">
        <v>1051</v>
      </c>
      <c r="D142" s="56" t="n">
        <f aca="false">Historicos!E187</f>
        <v>-388.403000000001</v>
      </c>
    </row>
    <row r="143" customFormat="false" ht="15" hidden="false" customHeight="false" outlineLevel="0" collapsed="false">
      <c r="A143" s="55" t="s">
        <v>1052</v>
      </c>
      <c r="B143" s="55" t="s">
        <v>1053</v>
      </c>
      <c r="C143" s="55" t="s">
        <v>1054</v>
      </c>
      <c r="D143" s="56" t="n">
        <f aca="false">Historicos!D188</f>
        <v>3.90899999999962</v>
      </c>
    </row>
    <row r="144" customFormat="false" ht="15" hidden="false" customHeight="false" outlineLevel="0" collapsed="false">
      <c r="A144" s="55" t="s">
        <v>1055</v>
      </c>
      <c r="B144" s="55" t="s">
        <v>1056</v>
      </c>
      <c r="C144" s="55" t="s">
        <v>1057</v>
      </c>
      <c r="D144" s="56" t="n">
        <f aca="false">Historicos!E188</f>
        <v>171.621</v>
      </c>
    </row>
    <row r="145" customFormat="false" ht="15" hidden="false" customHeight="false" outlineLevel="0" collapsed="false">
      <c r="A145" s="55" t="s">
        <v>1058</v>
      </c>
      <c r="B145" s="55" t="s">
        <v>1059</v>
      </c>
      <c r="C145" s="55" t="s">
        <v>1060</v>
      </c>
      <c r="D145" s="56" t="n">
        <f aca="false">Historicos!D191</f>
        <v>-55.4782000000006</v>
      </c>
    </row>
    <row r="146" customFormat="false" ht="15" hidden="false" customHeight="false" outlineLevel="0" collapsed="false">
      <c r="A146" s="55" t="s">
        <v>1061</v>
      </c>
      <c r="B146" s="55" t="s">
        <v>1062</v>
      </c>
      <c r="C146" s="55" t="s">
        <v>1063</v>
      </c>
      <c r="D146" s="56" t="n">
        <f aca="false">Historicos!E191</f>
        <v>345.997600000001</v>
      </c>
    </row>
    <row r="147" customFormat="false" ht="15" hidden="false" customHeight="false" outlineLevel="0" collapsed="false">
      <c r="A147" s="55" t="s">
        <v>1064</v>
      </c>
      <c r="B147" s="55" t="s">
        <v>1065</v>
      </c>
      <c r="C147" s="55" t="s">
        <v>1066</v>
      </c>
      <c r="D147" s="56" t="n">
        <f aca="false">Historicos!E98</f>
        <v>0.133243746490351</v>
      </c>
    </row>
    <row r="148" customFormat="false" ht="15" hidden="false" customHeight="false" outlineLevel="0" collapsed="false">
      <c r="A148" s="55" t="s">
        <v>1067</v>
      </c>
      <c r="B148" s="55" t="s">
        <v>1068</v>
      </c>
      <c r="C148" s="55" t="s">
        <v>1069</v>
      </c>
      <c r="D148" s="56" t="n">
        <f aca="false">Historicos!E179</f>
        <v>237.56</v>
      </c>
    </row>
    <row r="149" customFormat="false" ht="15" hidden="false" customHeight="false" outlineLevel="0" collapsed="false">
      <c r="A149" s="55" t="s">
        <v>1070</v>
      </c>
      <c r="B149" s="55" t="s">
        <v>327</v>
      </c>
      <c r="C149" s="55" t="s">
        <v>1071</v>
      </c>
      <c r="D149" s="56" t="n">
        <f aca="false">Costo_Capital!C4</f>
        <v>0.0425</v>
      </c>
    </row>
    <row r="150" customFormat="false" ht="15" hidden="false" customHeight="false" outlineLevel="0" collapsed="false">
      <c r="A150" s="55" t="s">
        <v>1072</v>
      </c>
      <c r="B150" s="55" t="s">
        <v>1073</v>
      </c>
      <c r="C150" s="55" t="s">
        <v>1074</v>
      </c>
      <c r="D150" s="56" t="n">
        <f aca="false">Costo_Capital!C27</f>
        <v>0.04</v>
      </c>
    </row>
    <row r="151" customFormat="false" ht="15" hidden="false" customHeight="false" outlineLevel="0" collapsed="false">
      <c r="A151" s="55" t="s">
        <v>1075</v>
      </c>
      <c r="B151" s="55" t="s">
        <v>1076</v>
      </c>
      <c r="C151" s="55" t="s">
        <v>1077</v>
      </c>
      <c r="D151" s="56" t="n">
        <f aca="false">Costo_Capital!C28</f>
        <v>0.06</v>
      </c>
    </row>
    <row r="152" customFormat="false" ht="15" hidden="false" customHeight="false" outlineLevel="0" collapsed="false">
      <c r="A152" s="55" t="s">
        <v>1078</v>
      </c>
      <c r="B152" s="55" t="s">
        <v>1079</v>
      </c>
      <c r="C152" s="55" t="s">
        <v>1080</v>
      </c>
      <c r="D152" s="56" t="n">
        <f aca="false">Costo_Capital!F27</f>
        <v>7773.07063991356</v>
      </c>
    </row>
    <row r="153" customFormat="false" ht="15" hidden="false" customHeight="false" outlineLevel="0" collapsed="false">
      <c r="A153" s="55" t="s">
        <v>1081</v>
      </c>
      <c r="B153" s="55" t="s">
        <v>1082</v>
      </c>
      <c r="C153" s="55" t="s">
        <v>1083</v>
      </c>
      <c r="D153" s="56" t="n">
        <f aca="false">Costo_Capital!F26</f>
        <v>6758.3437142641</v>
      </c>
    </row>
    <row r="154" customFormat="false" ht="15" hidden="false" customHeight="false" outlineLevel="0" collapsed="false">
      <c r="A154" s="55" t="s">
        <v>1084</v>
      </c>
      <c r="B154" s="55" t="s">
        <v>1085</v>
      </c>
      <c r="C154" s="55" t="s">
        <v>1086</v>
      </c>
      <c r="D154" s="56" t="n">
        <f aca="false">Costo_Capital!F28</f>
        <v>6008.38358566957</v>
      </c>
    </row>
    <row r="155" customFormat="false" ht="15" hidden="false" customHeight="false" outlineLevel="0" collapsed="false">
      <c r="A155" s="55" t="s">
        <v>1087</v>
      </c>
      <c r="B155" s="55" t="s">
        <v>1088</v>
      </c>
      <c r="C155" s="55" t="s">
        <v>1089</v>
      </c>
      <c r="D155" s="56" t="n">
        <f aca="false">Costo_Capital!C24</f>
        <v>0.815544484707162</v>
      </c>
    </row>
    <row r="156" customFormat="false" ht="15" hidden="false" customHeight="false" outlineLevel="0" collapsed="false">
      <c r="A156" s="55" t="s">
        <v>1090</v>
      </c>
      <c r="B156" s="55" t="s">
        <v>1091</v>
      </c>
      <c r="C156" s="55" t="s">
        <v>1092</v>
      </c>
      <c r="D156" s="56" t="n">
        <f aca="false">Costo_Capital!C25</f>
        <v>0.726445788491122</v>
      </c>
    </row>
    <row r="157" customFormat="false" ht="15" hidden="false" customHeight="false" outlineLevel="0" collapsed="false">
      <c r="A157" s="55" t="s">
        <v>1093</v>
      </c>
      <c r="B157" s="55" t="s">
        <v>330</v>
      </c>
      <c r="C157" s="55" t="s">
        <v>1094</v>
      </c>
      <c r="D157" s="56" t="n">
        <f aca="false">Costo_Capital!C7</f>
        <v>0.25</v>
      </c>
    </row>
    <row r="158" customFormat="false" ht="15" hidden="false" customHeight="false" outlineLevel="0" collapsed="false">
      <c r="A158" s="55" t="s">
        <v>1095</v>
      </c>
      <c r="B158" s="55" t="s">
        <v>1096</v>
      </c>
      <c r="C158" s="55" t="s">
        <v>1097</v>
      </c>
      <c r="D158" s="56" t="n">
        <f aca="false">Costo_Capital!C26</f>
        <v>0.796748786501241</v>
      </c>
    </row>
    <row r="159" customFormat="false" ht="15" hidden="false" customHeight="false" outlineLevel="0" collapsed="false">
      <c r="A159" s="55" t="s">
        <v>1098</v>
      </c>
      <c r="B159" s="55" t="s">
        <v>1099</v>
      </c>
      <c r="C159" s="55" t="s">
        <v>1100</v>
      </c>
      <c r="D159" s="56" t="n">
        <f aca="false">Costo_Capital!F24</f>
        <v>6747.88954367315</v>
      </c>
    </row>
    <row r="160" customFormat="false" ht="15" hidden="false" customHeight="false" outlineLevel="0" collapsed="false">
      <c r="A160" s="55" t="s">
        <v>1101</v>
      </c>
      <c r="B160" s="55" t="s">
        <v>1102</v>
      </c>
      <c r="C160" s="55" t="s">
        <v>1103</v>
      </c>
      <c r="D160" s="56" t="n">
        <f aca="false">Costo_Capital!F25</f>
        <v>7208.34361429014</v>
      </c>
    </row>
    <row r="161" customFormat="false" ht="15" hidden="false" customHeight="false" outlineLevel="0" collapsed="false">
      <c r="A161" s="55" t="s">
        <v>1104</v>
      </c>
      <c r="B161" s="55" t="s">
        <v>1105</v>
      </c>
      <c r="C161" s="55" t="s">
        <v>1106</v>
      </c>
      <c r="D161" s="56" t="n">
        <f aca="false">Costo_Capital!C29</f>
        <v>0.281211992040476</v>
      </c>
    </row>
    <row r="162" customFormat="false" ht="15" hidden="false" customHeight="false" outlineLevel="0" collapsed="false">
      <c r="A162" s="55" t="s">
        <v>1107</v>
      </c>
      <c r="B162" s="55" t="s">
        <v>1108</v>
      </c>
      <c r="C162" s="55" t="s">
        <v>1109</v>
      </c>
      <c r="D162" s="56" t="n">
        <f aca="false">Costo_Capital!C30</f>
        <v>0.295182266515118</v>
      </c>
    </row>
    <row r="163" customFormat="false" ht="15" hidden="false" customHeight="false" outlineLevel="0" collapsed="false">
      <c r="A163" s="55" t="s">
        <v>1110</v>
      </c>
      <c r="B163" s="55" t="s">
        <v>1111</v>
      </c>
      <c r="C163" s="55" t="s">
        <v>1112</v>
      </c>
      <c r="D163" s="56" t="n">
        <f aca="false">Costo_Capital!C31</f>
        <v>0.5</v>
      </c>
    </row>
    <row r="164" customFormat="false" ht="15" hidden="false" customHeight="false" outlineLevel="0" collapsed="false">
      <c r="A164" s="55" t="s">
        <v>1113</v>
      </c>
      <c r="B164" s="55" t="s">
        <v>1114</v>
      </c>
      <c r="C164" s="55" t="s">
        <v>1115</v>
      </c>
      <c r="D164" s="56" t="n">
        <f aca="false">Costo_Capital!F29</f>
        <v>6758.3437142641</v>
      </c>
    </row>
    <row r="165" customFormat="false" ht="15" hidden="false" customHeight="false" outlineLevel="0" collapsed="false">
      <c r="A165" s="55" t="s">
        <v>1116</v>
      </c>
      <c r="B165" s="55" t="s">
        <v>1117</v>
      </c>
      <c r="C165" s="55" t="s">
        <v>1118</v>
      </c>
      <c r="D165" s="56" t="n">
        <f aca="false">Costo_Capital!F30</f>
        <v>6787.51867950944</v>
      </c>
    </row>
    <row r="166" customFormat="false" ht="15" hidden="false" customHeight="false" outlineLevel="0" collapsed="false">
      <c r="A166" s="55" t="s">
        <v>1119</v>
      </c>
      <c r="B166" s="55" t="s">
        <v>1120</v>
      </c>
      <c r="C166" s="55" t="s">
        <v>1121</v>
      </c>
      <c r="D166" s="56" t="n">
        <f aca="false">Costo_Capital!F31</f>
        <v>7262.54161996891</v>
      </c>
    </row>
    <row r="167" customFormat="false" ht="15" hidden="false" customHeight="false" outlineLevel="0" collapsed="false">
      <c r="A167" s="55" t="s">
        <v>1122</v>
      </c>
      <c r="B167" s="55" t="s">
        <v>329</v>
      </c>
      <c r="C167" s="55" t="s">
        <v>1123</v>
      </c>
      <c r="D167" s="56" t="n">
        <f aca="false">Costo_Capital!C6</f>
        <v>0.055</v>
      </c>
    </row>
    <row r="168" customFormat="false" ht="15" hidden="false" customHeight="false" outlineLevel="0" collapsed="false">
      <c r="A168" s="55" t="s">
        <v>1124</v>
      </c>
      <c r="B168" s="55" t="s">
        <v>5</v>
      </c>
      <c r="C168" s="55" t="s">
        <v>1125</v>
      </c>
      <c r="D168" s="56" t="n">
        <f aca="false">Costo_Capital!C8</f>
        <v>0.4</v>
      </c>
    </row>
    <row r="169" customFormat="false" ht="15" hidden="false" customHeight="false" outlineLevel="0" collapsed="false">
      <c r="A169" s="55" t="s">
        <v>1126</v>
      </c>
      <c r="B169" s="55" t="s">
        <v>1127</v>
      </c>
      <c r="C169" s="55" t="s">
        <v>1128</v>
      </c>
      <c r="D169" s="56" t="n">
        <f aca="false">Historicos!E131</f>
        <v>0.396542732767186</v>
      </c>
    </row>
    <row r="170" customFormat="false" ht="15" hidden="false" customHeight="false" outlineLevel="0" collapsed="false">
      <c r="A170" s="55" t="s">
        <v>1129</v>
      </c>
      <c r="B170" s="55" t="s">
        <v>1130</v>
      </c>
      <c r="C170" s="55" t="s">
        <v>1131</v>
      </c>
      <c r="D170" s="56" t="n">
        <f aca="false">Costo_Capital!F32</f>
        <v>6758.3437142641</v>
      </c>
    </row>
    <row r="171" customFormat="false" ht="15" hidden="false" customHeight="false" outlineLevel="0" collapsed="false">
      <c r="A171" s="55" t="s">
        <v>1132</v>
      </c>
      <c r="B171" s="55" t="s">
        <v>1133</v>
      </c>
      <c r="C171" s="55" t="s">
        <v>1134</v>
      </c>
      <c r="D171" s="56" t="n">
        <f aca="false">Sensibilidad!B30</f>
        <v>5440.9548992641</v>
      </c>
    </row>
    <row r="172" customFormat="false" ht="15" hidden="false" customHeight="false" outlineLevel="0" collapsed="false">
      <c r="A172" s="55" t="s">
        <v>1135</v>
      </c>
      <c r="B172" s="55" t="s">
        <v>1136</v>
      </c>
      <c r="C172" s="55" t="s">
        <v>1137</v>
      </c>
      <c r="D172" s="56" t="n">
        <f aca="false">Sensibilidad!B20</f>
        <v>0</v>
      </c>
    </row>
    <row r="173" customFormat="false" ht="15" hidden="false" customHeight="false" outlineLevel="0" collapsed="false">
      <c r="A173" s="55" t="s">
        <v>1138</v>
      </c>
      <c r="B173" s="55" t="s">
        <v>1139</v>
      </c>
      <c r="C173" s="55" t="s">
        <v>1140</v>
      </c>
      <c r="D173" s="56" t="n">
        <f aca="false">Sensibilidad!C20</f>
        <v>0.1</v>
      </c>
    </row>
    <row r="174" customFormat="false" ht="15" hidden="false" customHeight="false" outlineLevel="0" collapsed="false">
      <c r="A174" s="55" t="s">
        <v>1141</v>
      </c>
      <c r="B174" s="55" t="s">
        <v>1142</v>
      </c>
      <c r="C174" s="55" t="s">
        <v>1143</v>
      </c>
      <c r="D174" s="56" t="n">
        <f aca="false">Sensibilidad!D20</f>
        <v>0.157</v>
      </c>
    </row>
    <row r="175" customFormat="false" ht="15" hidden="false" customHeight="false" outlineLevel="0" collapsed="false">
      <c r="A175" s="55" t="s">
        <v>1144</v>
      </c>
      <c r="B175" s="55" t="s">
        <v>1145</v>
      </c>
      <c r="C175" s="55" t="s">
        <v>1146</v>
      </c>
      <c r="D175" s="56" t="n">
        <f aca="false">Sensibilidad!E20</f>
        <v>0.25</v>
      </c>
    </row>
    <row r="176" customFormat="false" ht="15" hidden="false" customHeight="false" outlineLevel="0" collapsed="false">
      <c r="A176" s="55" t="s">
        <v>1147</v>
      </c>
      <c r="B176" s="55" t="s">
        <v>1148</v>
      </c>
      <c r="C176" s="55" t="s">
        <v>1149</v>
      </c>
      <c r="D176" s="56" t="n">
        <f aca="false">Sensibilidad!F20</f>
        <v>0.35</v>
      </c>
    </row>
    <row r="177" customFormat="false" ht="15" hidden="false" customHeight="false" outlineLevel="0" collapsed="false">
      <c r="A177" s="55" t="s">
        <v>1150</v>
      </c>
      <c r="B177" s="55" t="s">
        <v>1151</v>
      </c>
      <c r="C177" s="55" t="s">
        <v>1152</v>
      </c>
      <c r="D177" s="56" t="n">
        <f aca="false">Sensibilidad!B21</f>
        <v>6758.3437142641</v>
      </c>
    </row>
    <row r="178" customFormat="false" ht="15" hidden="false" customHeight="false" outlineLevel="0" collapsed="false">
      <c r="A178" s="55" t="s">
        <v>1153</v>
      </c>
      <c r="B178" s="55" t="s">
        <v>1154</v>
      </c>
      <c r="C178" s="55" t="s">
        <v>1155</v>
      </c>
      <c r="D178" s="56" t="n">
        <f aca="false">Sensibilidad!C21</f>
        <v>6082.50934283769</v>
      </c>
    </row>
    <row r="179" customFormat="false" ht="15" hidden="false" customHeight="false" outlineLevel="0" collapsed="false">
      <c r="A179" s="55" t="s">
        <v>1156</v>
      </c>
      <c r="B179" s="55" t="s">
        <v>1157</v>
      </c>
      <c r="C179" s="55" t="s">
        <v>1158</v>
      </c>
      <c r="D179" s="56" t="n">
        <f aca="false">Sensibilidad!D21</f>
        <v>5697.28375112464</v>
      </c>
    </row>
    <row r="180" customFormat="false" ht="15" hidden="false" customHeight="false" outlineLevel="0" collapsed="false">
      <c r="A180" s="55" t="s">
        <v>1159</v>
      </c>
      <c r="B180" s="55" t="s">
        <v>1160</v>
      </c>
      <c r="C180" s="55" t="s">
        <v>1161</v>
      </c>
      <c r="D180" s="56" t="n">
        <f aca="false">Sensibilidad!E21</f>
        <v>5068.75778569808</v>
      </c>
    </row>
    <row r="181" customFormat="false" ht="15" hidden="false" customHeight="false" outlineLevel="0" collapsed="false">
      <c r="A181" s="55" t="s">
        <v>1162</v>
      </c>
      <c r="B181" s="55" t="s">
        <v>1163</v>
      </c>
      <c r="C181" s="55" t="s">
        <v>1164</v>
      </c>
      <c r="D181" s="56" t="n">
        <f aca="false">Sensibilidad!F21</f>
        <v>4392.92341427167</v>
      </c>
    </row>
    <row r="182" customFormat="false" ht="15" hidden="false" customHeight="false" outlineLevel="0" collapsed="false">
      <c r="A182" s="55" t="s">
        <v>1165</v>
      </c>
      <c r="B182" s="55" t="s">
        <v>1166</v>
      </c>
      <c r="C182" s="55" t="s">
        <v>1167</v>
      </c>
      <c r="D182" s="56" t="n">
        <f aca="false">Supuestos!C29</f>
        <v>0</v>
      </c>
    </row>
    <row r="183" customFormat="false" ht="15" hidden="false" customHeight="false" outlineLevel="0" collapsed="false">
      <c r="A183" s="55" t="s">
        <v>1168</v>
      </c>
      <c r="B183" s="55" t="s">
        <v>332</v>
      </c>
      <c r="C183" s="55" t="s">
        <v>1169</v>
      </c>
      <c r="D183" s="56" t="n">
        <f aca="false">Costo_Capital!C9</f>
        <v>0.796748786501241</v>
      </c>
    </row>
    <row r="184" customFormat="false" ht="15" hidden="false" customHeight="false" outlineLevel="0" collapsed="false">
      <c r="A184" s="55" t="s">
        <v>1170</v>
      </c>
      <c r="B184" s="55" t="s">
        <v>328</v>
      </c>
      <c r="C184" s="55" t="s">
        <v>1171</v>
      </c>
      <c r="D184" s="56" t="n">
        <f aca="false">Costo_Capital!C5</f>
        <v>0.05</v>
      </c>
    </row>
    <row r="185" customFormat="false" ht="15" hidden="false" customHeight="false" outlineLevel="0" collapsed="false">
      <c r="A185" s="55" t="s">
        <v>1172</v>
      </c>
      <c r="B185" s="55" t="s">
        <v>334</v>
      </c>
      <c r="C185" s="55" t="s">
        <v>1173</v>
      </c>
      <c r="D185" s="56" t="n">
        <f aca="false">Costo_Capital!C11</f>
        <v>0.281211992040476</v>
      </c>
    </row>
    <row r="186" customFormat="false" ht="15" hidden="false" customHeight="false" outlineLevel="0" collapsed="false">
      <c r="A186" s="55" t="s">
        <v>1174</v>
      </c>
      <c r="B186" s="55" t="s">
        <v>335</v>
      </c>
      <c r="C186" s="55" t="s">
        <v>1175</v>
      </c>
      <c r="D186" s="56" t="n">
        <f aca="false">Costo_Capital!C12</f>
        <v>0.391230778653045</v>
      </c>
    </row>
    <row r="187" customFormat="false" ht="15" hidden="false" customHeight="false" outlineLevel="0" collapsed="false">
      <c r="A187" s="55" t="s">
        <v>1176</v>
      </c>
      <c r="B187" s="55" t="s">
        <v>337</v>
      </c>
      <c r="C187" s="55" t="s">
        <v>1177</v>
      </c>
      <c r="D187" s="56" t="n">
        <f aca="false">Costo_Capital!C14</f>
        <v>1.01065373997173</v>
      </c>
    </row>
    <row r="188" customFormat="false" ht="15" hidden="false" customHeight="false" outlineLevel="0" collapsed="false">
      <c r="A188" s="55" t="s">
        <v>1178</v>
      </c>
      <c r="B188" s="55" t="s">
        <v>340</v>
      </c>
      <c r="C188" s="55" t="s">
        <v>1179</v>
      </c>
      <c r="D188" s="56" t="n">
        <f aca="false">Costo_Capital!C17</f>
        <v>0.0761507755001716</v>
      </c>
    </row>
    <row r="189" customFormat="false" ht="15" hidden="false" customHeight="false" outlineLevel="0" collapsed="false">
      <c r="A189" s="55" t="s">
        <v>1180</v>
      </c>
      <c r="B189" s="55" t="s">
        <v>545</v>
      </c>
      <c r="C189" s="55" t="s">
        <v>1181</v>
      </c>
      <c r="D189" s="56" t="n">
        <f aca="false">Valoracion!C63</f>
        <v>502.558409217443</v>
      </c>
    </row>
    <row r="190" customFormat="false" ht="15" hidden="false" customHeight="false" outlineLevel="0" collapsed="false">
      <c r="A190" s="55" t="s">
        <v>1182</v>
      </c>
      <c r="B190" s="55" t="s">
        <v>1183</v>
      </c>
      <c r="C190" s="55" t="s">
        <v>1184</v>
      </c>
      <c r="D190" s="56" t="n">
        <f aca="false">Proyeccion!D17</f>
        <v>243.546649092849</v>
      </c>
    </row>
    <row r="191" customFormat="false" ht="15" hidden="false" customHeight="false" outlineLevel="0" collapsed="false">
      <c r="A191" s="55" t="s">
        <v>1185</v>
      </c>
      <c r="B191" s="55" t="s">
        <v>1186</v>
      </c>
      <c r="C191" s="55" t="s">
        <v>1187</v>
      </c>
      <c r="D191" s="56" t="n">
        <f aca="false">Sensibilidad!D4</f>
        <v>0.025</v>
      </c>
    </row>
    <row r="192" customFormat="false" ht="15" hidden="false" customHeight="false" outlineLevel="0" collapsed="false">
      <c r="A192" s="55" t="s">
        <v>1188</v>
      </c>
      <c r="B192" s="55" t="s">
        <v>1186</v>
      </c>
      <c r="C192" s="55" t="s">
        <v>1189</v>
      </c>
      <c r="D192" s="56" t="n">
        <f aca="false">Sensibilidad!A7</f>
        <v>0.08</v>
      </c>
    </row>
    <row r="193" customFormat="false" ht="15" hidden="false" customHeight="false" outlineLevel="0" collapsed="false">
      <c r="A193" s="55" t="s">
        <v>1190</v>
      </c>
      <c r="B193" s="55" t="s">
        <v>1186</v>
      </c>
      <c r="C193" s="55" t="s">
        <v>1191</v>
      </c>
      <c r="D193" s="56" t="n">
        <f aca="false">Sensibilidad!A8</f>
        <v>0.0825</v>
      </c>
    </row>
    <row r="194" customFormat="false" ht="15" hidden="false" customHeight="false" outlineLevel="0" collapsed="false">
      <c r="A194" s="55" t="s">
        <v>1192</v>
      </c>
      <c r="B194" s="55" t="s">
        <v>1186</v>
      </c>
      <c r="C194" s="55" t="s">
        <v>1193</v>
      </c>
      <c r="D194" s="56" t="n">
        <f aca="false">Sensibilidad!D7</f>
        <v>6926.4937482385</v>
      </c>
    </row>
    <row r="195" customFormat="false" ht="15" hidden="false" customHeight="false" outlineLevel="0" collapsed="false">
      <c r="A195" s="55" t="s">
        <v>1194</v>
      </c>
      <c r="B195" s="55" t="s">
        <v>1186</v>
      </c>
      <c r="C195" s="55" t="s">
        <v>1195</v>
      </c>
      <c r="D195" s="56" t="n">
        <f aca="false">Sensibilidad!D8</f>
        <v>6636.50860019341</v>
      </c>
    </row>
    <row r="196" customFormat="false" ht="15" hidden="false" customHeight="false" outlineLevel="0" collapsed="false">
      <c r="A196" s="55" t="s">
        <v>1196</v>
      </c>
      <c r="B196" s="55" t="s">
        <v>491</v>
      </c>
      <c r="C196" s="55" t="s">
        <v>1197</v>
      </c>
      <c r="D196" s="56" t="n">
        <f aca="false">Valoracion!C8</f>
        <v>1258.41701747142</v>
      </c>
    </row>
    <row r="197" customFormat="false" ht="15" hidden="false" customHeight="false" outlineLevel="0" collapsed="false">
      <c r="A197" s="55" t="s">
        <v>1198</v>
      </c>
      <c r="B197" s="55" t="s">
        <v>1199</v>
      </c>
      <c r="C197" s="55" t="s">
        <v>1200</v>
      </c>
      <c r="D197" s="56" t="n">
        <f aca="false">Proyeccion!I28</f>
        <v>327.502328982914</v>
      </c>
    </row>
    <row r="198" customFormat="false" ht="15" hidden="false" customHeight="false" outlineLevel="0" collapsed="false">
      <c r="A198" s="55" t="s">
        <v>1201</v>
      </c>
      <c r="B198" s="55" t="s">
        <v>492</v>
      </c>
      <c r="C198" s="55" t="s">
        <v>1202</v>
      </c>
      <c r="D198" s="56" t="n">
        <f aca="false">Valoracion!C9</f>
        <v>4560.44376052538</v>
      </c>
    </row>
    <row r="199" customFormat="false" ht="15" hidden="false" customHeight="false" outlineLevel="0" collapsed="false">
      <c r="A199" s="55" t="s">
        <v>1203</v>
      </c>
      <c r="B199" s="55" t="s">
        <v>493</v>
      </c>
      <c r="C199" s="55" t="s">
        <v>1204</v>
      </c>
      <c r="D199" s="56" t="n">
        <f aca="false">Valoracion!C10</f>
        <v>284.783121267308</v>
      </c>
    </row>
    <row r="200" customFormat="false" ht="15" hidden="false" customHeight="false" outlineLevel="0" collapsed="false">
      <c r="A200" s="55" t="s">
        <v>1205</v>
      </c>
      <c r="B200" s="55" t="s">
        <v>496</v>
      </c>
      <c r="C200" s="55" t="s">
        <v>1206</v>
      </c>
      <c r="D200" s="56" t="n">
        <f aca="false">Valoracion!C15</f>
        <v>220.885</v>
      </c>
    </row>
    <row r="201" customFormat="false" ht="15" hidden="false" customHeight="false" outlineLevel="0" collapsed="false">
      <c r="A201" s="55" t="s">
        <v>1207</v>
      </c>
      <c r="B201" s="55" t="s">
        <v>498</v>
      </c>
      <c r="C201" s="55" t="s">
        <v>1208</v>
      </c>
      <c r="D201" s="56" t="n">
        <f aca="false">Valoracion!C16</f>
        <v>90.033</v>
      </c>
    </row>
    <row r="202" customFormat="false" ht="15" hidden="false" customHeight="false" outlineLevel="0" collapsed="false">
      <c r="A202" s="55" t="s">
        <v>1209</v>
      </c>
      <c r="B202" s="55" t="s">
        <v>500</v>
      </c>
      <c r="C202" s="55" t="s">
        <v>1210</v>
      </c>
      <c r="D202" s="56" t="n">
        <f aca="false">Valoracion!C17</f>
        <v>1719.180135</v>
      </c>
    </row>
    <row r="203" customFormat="false" ht="15" hidden="false" customHeight="false" outlineLevel="0" collapsed="false">
      <c r="A203" s="55" t="s">
        <v>1211</v>
      </c>
      <c r="B203" s="55" t="s">
        <v>155</v>
      </c>
      <c r="C203" s="55" t="s">
        <v>1212</v>
      </c>
      <c r="D203" s="56" t="n">
        <f aca="false">Valoracion!C18</f>
        <v>4.422</v>
      </c>
    </row>
    <row r="204" customFormat="false" ht="15" hidden="false" customHeight="false" outlineLevel="0" collapsed="false">
      <c r="A204" s="55" t="s">
        <v>1213</v>
      </c>
      <c r="B204" s="55" t="s">
        <v>505</v>
      </c>
      <c r="C204" s="55" t="s">
        <v>1214</v>
      </c>
      <c r="D204" s="56" t="n">
        <f aca="false">Valoracion!C22</f>
        <v>1002.293</v>
      </c>
    </row>
    <row r="205" customFormat="false" ht="15" hidden="false" customHeight="false" outlineLevel="0" collapsed="false">
      <c r="A205" s="55" t="s">
        <v>1215</v>
      </c>
      <c r="B205" s="55" t="s">
        <v>507</v>
      </c>
      <c r="C205" s="55" t="s">
        <v>1216</v>
      </c>
      <c r="D205" s="56" t="n">
        <f aca="false">Valoracion!C23</f>
        <v>15.056</v>
      </c>
    </row>
    <row r="206" customFormat="false" ht="15" hidden="false" customHeight="false" outlineLevel="0" collapsed="false">
      <c r="A206" s="55" t="s">
        <v>1217</v>
      </c>
      <c r="B206" s="55" t="s">
        <v>508</v>
      </c>
      <c r="C206" s="55" t="s">
        <v>1218</v>
      </c>
      <c r="D206" s="56" t="n">
        <f aca="false">Valoracion!C24</f>
        <v>287.49432</v>
      </c>
    </row>
    <row r="207" customFormat="false" ht="15" hidden="false" customHeight="false" outlineLevel="0" collapsed="false">
      <c r="A207" s="55" t="s">
        <v>1219</v>
      </c>
      <c r="B207" s="55" t="s">
        <v>1220</v>
      </c>
      <c r="C207" s="55" t="s">
        <v>1221</v>
      </c>
      <c r="D207" s="56" t="n">
        <f aca="false">Proyeccion!H30</f>
        <v>0.104187298743278</v>
      </c>
    </row>
    <row r="208" customFormat="false" ht="15" hidden="false" customHeight="false" outlineLevel="0" collapsed="false">
      <c r="A208" s="55" t="s">
        <v>1222</v>
      </c>
      <c r="B208" s="55" t="s">
        <v>1223</v>
      </c>
      <c r="C208" s="55" t="s">
        <v>1224</v>
      </c>
      <c r="D208" s="56" t="n">
        <f aca="false">Proyeccion!H31</f>
        <v>0.266837368828571</v>
      </c>
    </row>
    <row r="209" customFormat="false" ht="15" hidden="false" customHeight="false" outlineLevel="0" collapsed="false">
      <c r="A209" s="55" t="s">
        <v>1225</v>
      </c>
      <c r="B209" s="55" t="s">
        <v>529</v>
      </c>
      <c r="C209" s="55" t="s">
        <v>1226</v>
      </c>
      <c r="D209" s="56" t="n">
        <f aca="false">Valoracion!C49</f>
        <v>6627.05470830632</v>
      </c>
    </row>
    <row r="210" customFormat="false" ht="15" hidden="false" customHeight="false" outlineLevel="0" collapsed="false">
      <c r="A210" s="55" t="s">
        <v>1227</v>
      </c>
      <c r="B210" s="55" t="s">
        <v>530</v>
      </c>
      <c r="C210" s="55" t="s">
        <v>1228</v>
      </c>
      <c r="D210" s="56" t="n">
        <f aca="false">Valoracion!C50</f>
        <v>131.289005957784</v>
      </c>
    </row>
    <row r="211" customFormat="false" ht="15" hidden="false" customHeight="false" outlineLevel="0" collapsed="false">
      <c r="A211" s="55" t="s">
        <v>1229</v>
      </c>
      <c r="B211" s="55" t="s">
        <v>534</v>
      </c>
      <c r="C211" s="55" t="s">
        <v>1230</v>
      </c>
      <c r="D211" s="56" t="n">
        <f aca="false">Valoracion!C54</f>
        <v>6009.84573000001</v>
      </c>
    </row>
    <row r="212" customFormat="false" ht="15" hidden="false" customHeight="false" outlineLevel="0" collapsed="false">
      <c r="A212" s="55" t="s">
        <v>1231</v>
      </c>
      <c r="B212" s="55" t="s">
        <v>533</v>
      </c>
      <c r="C212" s="55" t="s">
        <v>1232</v>
      </c>
      <c r="D212" s="56" t="n">
        <f aca="false">Valoracion!C53</f>
        <v>11332.4944070298</v>
      </c>
    </row>
    <row r="213" customFormat="false" ht="15" hidden="false" customHeight="false" outlineLevel="0" collapsed="false">
      <c r="A213" s="55" t="s">
        <v>1233</v>
      </c>
      <c r="B213" s="55" t="s">
        <v>523</v>
      </c>
      <c r="C213" s="55" t="s">
        <v>1234</v>
      </c>
      <c r="D213" s="56" t="n">
        <f aca="false">Valoracion!C44</f>
        <v>4.03847813642202</v>
      </c>
    </row>
    <row r="214" customFormat="false" ht="15" hidden="false" customHeight="false" outlineLevel="0" collapsed="false">
      <c r="A214" s="55" t="s">
        <v>1235</v>
      </c>
      <c r="B214" s="55" t="s">
        <v>522</v>
      </c>
      <c r="C214" s="55" t="s">
        <v>1236</v>
      </c>
      <c r="D214" s="56" t="n">
        <f aca="false">Valoracion!C43</f>
        <v>10.3334329393267</v>
      </c>
    </row>
    <row r="215" customFormat="false" ht="15" hidden="false" customHeight="false" outlineLevel="0" collapsed="false">
      <c r="A215" s="55" t="s">
        <v>1237</v>
      </c>
      <c r="B215" s="55" t="s">
        <v>1238</v>
      </c>
      <c r="C215" s="55" t="s">
        <v>1239</v>
      </c>
      <c r="D215" s="56" t="n">
        <f aca="false">Comparables!M11</f>
        <v>0.315934803108497</v>
      </c>
    </row>
    <row r="216" customFormat="false" ht="15" hidden="false" customHeight="false" outlineLevel="0" collapsed="false">
      <c r="A216" s="55" t="s">
        <v>1240</v>
      </c>
      <c r="B216" s="55" t="s">
        <v>1241</v>
      </c>
      <c r="C216" s="55" t="s">
        <v>1242</v>
      </c>
      <c r="D216" s="56" t="n">
        <f aca="false">Proyeccion!D13</f>
        <v>0.246421587662187</v>
      </c>
    </row>
    <row r="217" customFormat="false" ht="15" hidden="false" customHeight="false" outlineLevel="0" collapsed="false">
      <c r="A217" s="55" t="s">
        <v>1243</v>
      </c>
      <c r="B217" s="55" t="s">
        <v>1244</v>
      </c>
      <c r="C217" s="55" t="s">
        <v>1245</v>
      </c>
      <c r="D217" s="56" t="n">
        <f aca="false">Comparables!S13</f>
        <v>30.965614923242</v>
      </c>
    </row>
    <row r="218" customFormat="false" ht="15" hidden="false" customHeight="false" outlineLevel="0" collapsed="false">
      <c r="A218" s="55" t="s">
        <v>1246</v>
      </c>
      <c r="B218" s="55" t="s">
        <v>1247</v>
      </c>
      <c r="C218" s="55" t="s">
        <v>1248</v>
      </c>
      <c r="D218" s="56" t="n">
        <f aca="false">Sensibilidad!B29</f>
        <v>6758.3437142641</v>
      </c>
    </row>
    <row r="219" customFormat="false" ht="15" hidden="false" customHeight="false" outlineLevel="0" collapsed="false">
      <c r="A219" s="55" t="s">
        <v>1249</v>
      </c>
      <c r="B219" s="55" t="s">
        <v>1250</v>
      </c>
      <c r="C219" s="55" t="s">
        <v>1251</v>
      </c>
      <c r="D219" s="56" t="n">
        <f aca="false">Sensibilidad!C29</f>
        <v>13866.9094620361</v>
      </c>
    </row>
    <row r="220" customFormat="false" ht="15" hidden="false" customHeight="false" outlineLevel="0" collapsed="false">
      <c r="A220" s="55" t="s">
        <v>1252</v>
      </c>
      <c r="B220" s="55" t="s">
        <v>1253</v>
      </c>
      <c r="C220" s="55" t="s">
        <v>1254</v>
      </c>
      <c r="D220" s="56" t="n">
        <f aca="false">Sensibilidad!D29</f>
        <v>7108.56574777204</v>
      </c>
    </row>
    <row r="221" customFormat="false" ht="15" hidden="false" customHeight="false" outlineLevel="0" collapsed="false">
      <c r="A221" s="55" t="s">
        <v>1255</v>
      </c>
      <c r="B221" s="55" t="s">
        <v>1256</v>
      </c>
      <c r="C221" s="55" t="s">
        <v>1257</v>
      </c>
      <c r="D221" s="56" t="n">
        <f aca="false">Sensibilidad!B32</f>
        <v>4640.89030327891</v>
      </c>
    </row>
    <row r="222" customFormat="false" ht="15" hidden="false" customHeight="false" outlineLevel="0" collapsed="false">
      <c r="A222" s="55" t="s">
        <v>1258</v>
      </c>
      <c r="B222" s="55" t="s">
        <v>1259</v>
      </c>
      <c r="C222" s="55" t="s">
        <v>1260</v>
      </c>
      <c r="D222" s="56" t="n">
        <f aca="false">Sensibilidad!C32</f>
        <v>6758.3437142641</v>
      </c>
    </row>
    <row r="223" customFormat="false" ht="15" hidden="false" customHeight="false" outlineLevel="0" collapsed="false">
      <c r="A223" s="55" t="s">
        <v>1261</v>
      </c>
      <c r="B223" s="55" t="s">
        <v>1262</v>
      </c>
      <c r="C223" s="55" t="s">
        <v>1263</v>
      </c>
      <c r="D223" s="56" t="n">
        <f aca="false">Sensibilidad!D32</f>
        <v>2117.4534109852</v>
      </c>
    </row>
    <row r="224" customFormat="false" ht="15" hidden="false" customHeight="false" outlineLevel="0" collapsed="false">
      <c r="A224" s="55" t="s">
        <v>1264</v>
      </c>
      <c r="B224" s="55" t="s">
        <v>1265</v>
      </c>
      <c r="C224" s="55" t="s">
        <v>1266</v>
      </c>
      <c r="D224" s="56" t="n">
        <f aca="false">Sensibilidad!B27</f>
        <v>6008.38358566957</v>
      </c>
    </row>
    <row r="225" customFormat="false" ht="15" hidden="false" customHeight="false" outlineLevel="0" collapsed="false">
      <c r="A225" s="55" t="s">
        <v>1267</v>
      </c>
      <c r="B225" s="55" t="s">
        <v>1268</v>
      </c>
      <c r="C225" s="55" t="s">
        <v>1269</v>
      </c>
      <c r="D225" s="56" t="n">
        <f aca="false">Sensibilidad!C27</f>
        <v>7773.07063991356</v>
      </c>
    </row>
    <row r="226" customFormat="false" ht="15" hidden="false" customHeight="false" outlineLevel="0" collapsed="false">
      <c r="A226" s="55" t="s">
        <v>1270</v>
      </c>
      <c r="B226" s="55" t="s">
        <v>1271</v>
      </c>
      <c r="C226" s="55" t="s">
        <v>1272</v>
      </c>
      <c r="D226" s="56" t="n">
        <f aca="false">Sensibilidad!D27</f>
        <v>1764.68705424399</v>
      </c>
    </row>
    <row r="227" customFormat="false" ht="15" hidden="false" customHeight="false" outlineLevel="0" collapsed="false">
      <c r="A227" s="55" t="s">
        <v>1273</v>
      </c>
      <c r="B227" s="55" t="s">
        <v>1274</v>
      </c>
      <c r="C227" s="55" t="s">
        <v>1275</v>
      </c>
      <c r="D227" s="56" t="n">
        <f aca="false">Sensibilidad!B31</f>
        <v>5068.75778569808</v>
      </c>
    </row>
    <row r="228" customFormat="false" ht="15" hidden="false" customHeight="false" outlineLevel="0" collapsed="false">
      <c r="A228" s="55" t="s">
        <v>1276</v>
      </c>
      <c r="B228" s="55" t="s">
        <v>1277</v>
      </c>
      <c r="C228" s="55" t="s">
        <v>1278</v>
      </c>
      <c r="D228" s="56" t="n">
        <f aca="false">Sensibilidad!C31</f>
        <v>6758.3437142641</v>
      </c>
    </row>
    <row r="229" customFormat="false" ht="15" hidden="false" customHeight="false" outlineLevel="0" collapsed="false">
      <c r="A229" s="55" t="s">
        <v>1279</v>
      </c>
      <c r="B229" s="55" t="s">
        <v>1280</v>
      </c>
      <c r="C229" s="55" t="s">
        <v>1281</v>
      </c>
      <c r="D229" s="56" t="n">
        <f aca="false">Sensibilidad!D31</f>
        <v>1689.58592856603</v>
      </c>
    </row>
    <row r="230" customFormat="false" ht="15" hidden="false" customHeight="false" outlineLevel="0" collapsed="false">
      <c r="A230" s="55" t="s">
        <v>1282</v>
      </c>
      <c r="B230" s="55" t="s">
        <v>1283</v>
      </c>
      <c r="C230" s="55" t="s">
        <v>1284</v>
      </c>
      <c r="D230" s="56" t="n">
        <f aca="false">Sensibilidad!C30</f>
        <v>6758.3437142641</v>
      </c>
    </row>
    <row r="231" customFormat="false" ht="15" hidden="false" customHeight="false" outlineLevel="0" collapsed="false">
      <c r="A231" s="55" t="s">
        <v>1285</v>
      </c>
      <c r="B231" s="55" t="s">
        <v>1286</v>
      </c>
      <c r="C231" s="55" t="s">
        <v>1287</v>
      </c>
      <c r="D231" s="56" t="n">
        <f aca="false">Sensibilidad!D30</f>
        <v>1317.388815</v>
      </c>
    </row>
    <row r="232" customFormat="false" ht="15" hidden="false" customHeight="false" outlineLevel="0" collapsed="false">
      <c r="A232" s="55" t="s">
        <v>1288</v>
      </c>
      <c r="B232" s="55" t="s">
        <v>1289</v>
      </c>
      <c r="C232" s="55" t="s">
        <v>1290</v>
      </c>
      <c r="D232" s="56" t="n">
        <f aca="false">Sensibilidad!B28</f>
        <v>6758.3437142641</v>
      </c>
    </row>
    <row r="233" customFormat="false" ht="15" hidden="false" customHeight="false" outlineLevel="0" collapsed="false">
      <c r="A233" s="55" t="s">
        <v>1291</v>
      </c>
      <c r="B233" s="55" t="s">
        <v>1292</v>
      </c>
      <c r="C233" s="55" t="s">
        <v>1293</v>
      </c>
      <c r="D233" s="56" t="n">
        <f aca="false">Sensibilidad!C28</f>
        <v>7262.54161996891</v>
      </c>
    </row>
    <row r="234" customFormat="false" ht="15" hidden="false" customHeight="false" outlineLevel="0" collapsed="false">
      <c r="A234" s="55" t="s">
        <v>1294</v>
      </c>
      <c r="B234" s="55" t="s">
        <v>1295</v>
      </c>
      <c r="C234" s="55" t="s">
        <v>1296</v>
      </c>
      <c r="D234" s="56" t="n">
        <f aca="false">Sensibilidad!D28</f>
        <v>504.197905704807</v>
      </c>
    </row>
    <row r="235" customFormat="false" ht="15" hidden="false" customHeight="false" outlineLevel="0" collapsed="false">
      <c r="A235" s="55" t="s">
        <v>1297</v>
      </c>
      <c r="B235" s="55" t="s">
        <v>1298</v>
      </c>
      <c r="C235" s="55" t="s">
        <v>1299</v>
      </c>
      <c r="D235" s="56" t="n">
        <f aca="false">Sensibilidad!B26</f>
        <v>6747.88954367315</v>
      </c>
    </row>
    <row r="236" customFormat="false" ht="15" hidden="false" customHeight="false" outlineLevel="0" collapsed="false">
      <c r="A236" s="55" t="s">
        <v>1300</v>
      </c>
      <c r="B236" s="55" t="s">
        <v>1301</v>
      </c>
      <c r="C236" s="55" t="s">
        <v>1302</v>
      </c>
      <c r="D236" s="56" t="n">
        <f aca="false">Sensibilidad!C26</f>
        <v>7208.34361429014</v>
      </c>
    </row>
    <row r="237" customFormat="false" ht="15" hidden="false" customHeight="false" outlineLevel="0" collapsed="false">
      <c r="A237" s="55" t="s">
        <v>1303</v>
      </c>
      <c r="B237" s="55" t="s">
        <v>1304</v>
      </c>
      <c r="C237" s="55" t="s">
        <v>1305</v>
      </c>
      <c r="D237" s="56" t="n">
        <f aca="false">Sensibilidad!D26</f>
        <v>460.454070616988</v>
      </c>
    </row>
    <row r="238" customFormat="false" ht="15" hidden="false" customHeight="false" outlineLevel="0" collapsed="false">
      <c r="A238" s="55" t="s">
        <v>1306</v>
      </c>
      <c r="B238" s="55" t="s">
        <v>1307</v>
      </c>
      <c r="C238" s="55" t="s">
        <v>1308</v>
      </c>
      <c r="D238" s="56" t="n">
        <f aca="false">Sensibilidad!B25</f>
        <v>6580.04630428658</v>
      </c>
    </row>
    <row r="239" customFormat="false" ht="15" hidden="false" customHeight="false" outlineLevel="0" collapsed="false">
      <c r="A239" s="55" t="s">
        <v>1309</v>
      </c>
      <c r="B239" s="55" t="s">
        <v>1310</v>
      </c>
      <c r="C239" s="55" t="s">
        <v>1311</v>
      </c>
      <c r="D239" s="56" t="n">
        <f aca="false">Sensibilidad!C25</f>
        <v>6974.53176511881</v>
      </c>
    </row>
    <row r="240" customFormat="false" ht="15" hidden="false" customHeight="false" outlineLevel="0" collapsed="false">
      <c r="A240" s="55" t="s">
        <v>1312</v>
      </c>
      <c r="B240" s="55" t="s">
        <v>1313</v>
      </c>
      <c r="C240" s="55" t="s">
        <v>1314</v>
      </c>
      <c r="D240" s="56" t="n">
        <f aca="false">Sensibilidad!D25</f>
        <v>394.485460832228</v>
      </c>
    </row>
    <row r="241" customFormat="false" ht="15" hidden="false" customHeight="false" outlineLevel="0" collapsed="false">
      <c r="A241" s="55" t="s">
        <v>1315</v>
      </c>
      <c r="B241" s="55" t="s">
        <v>1316</v>
      </c>
      <c r="C241" s="55" t="s">
        <v>1317</v>
      </c>
      <c r="D241" s="56" t="n">
        <f aca="false">Proyeccion!C89</f>
        <v>3.63636363636364</v>
      </c>
    </row>
    <row r="242" customFormat="false" ht="15" hidden="false" customHeight="false" outlineLevel="0" collapsed="false">
      <c r="A242" s="55" t="s">
        <v>1318</v>
      </c>
      <c r="B242" s="55" t="s">
        <v>546</v>
      </c>
      <c r="C242" s="55" t="s">
        <v>1319</v>
      </c>
      <c r="D242" s="56" t="n">
        <f aca="false">Valoracion!C64</f>
        <v>0.254378914077944</v>
      </c>
    </row>
    <row r="243" customFormat="false" ht="15" hidden="false" customHeight="false" outlineLevel="0" collapsed="false">
      <c r="A243" s="55" t="s">
        <v>1320</v>
      </c>
      <c r="B243" s="55" t="s">
        <v>1321</v>
      </c>
      <c r="C243" s="55" t="s">
        <v>1322</v>
      </c>
      <c r="D243" s="56" t="n">
        <f aca="false">Sinergias!H8</f>
        <v>75.9762227104255</v>
      </c>
    </row>
    <row r="244" customFormat="false" ht="15" hidden="false" customHeight="false" outlineLevel="0" collapsed="false">
      <c r="A244" s="55" t="s">
        <v>1323</v>
      </c>
      <c r="B244" s="55" t="s">
        <v>549</v>
      </c>
      <c r="C244" s="55" t="s">
        <v>1324</v>
      </c>
      <c r="D244" s="56" t="n">
        <f aca="false">Valoracion!C67</f>
        <v>6.53695402008038</v>
      </c>
    </row>
    <row r="245" customFormat="false" ht="15" hidden="false" customHeight="false" outlineLevel="0" collapsed="false">
      <c r="A245" s="55" t="s">
        <v>1325</v>
      </c>
      <c r="B245" s="55" t="s">
        <v>1326</v>
      </c>
      <c r="C245" s="55" t="s">
        <v>1327</v>
      </c>
      <c r="D245" s="56" t="n">
        <f aca="false">Supuestos!D36</f>
        <v>0.14</v>
      </c>
    </row>
    <row r="246" customFormat="false" ht="15" hidden="false" customHeight="false" outlineLevel="0" collapsed="false">
      <c r="A246" s="55" t="s">
        <v>1328</v>
      </c>
      <c r="B246" s="55" t="s">
        <v>1329</v>
      </c>
      <c r="C246" s="55" t="s">
        <v>1330</v>
      </c>
      <c r="D246" s="56" t="n">
        <f aca="false">Supuestos!E36</f>
        <v>0.14</v>
      </c>
    </row>
    <row r="247" customFormat="false" ht="15" hidden="false" customHeight="false" outlineLevel="0" collapsed="false">
      <c r="A247" s="55" t="s">
        <v>1331</v>
      </c>
      <c r="B247" s="55" t="s">
        <v>1332</v>
      </c>
      <c r="C247" s="55" t="s">
        <v>1333</v>
      </c>
      <c r="D247" s="56" t="n">
        <f aca="false">Supuestos!F36</f>
        <v>0.125</v>
      </c>
    </row>
    <row r="248" customFormat="false" ht="15" hidden="false" customHeight="false" outlineLevel="0" collapsed="false">
      <c r="A248" s="55" t="s">
        <v>1334</v>
      </c>
      <c r="B248" s="55" t="s">
        <v>1335</v>
      </c>
      <c r="C248" s="55" t="s">
        <v>1336</v>
      </c>
      <c r="D248" s="56" t="n">
        <f aca="false">Supuestos!G36</f>
        <v>0.1</v>
      </c>
    </row>
    <row r="249" customFormat="false" ht="15" hidden="false" customHeight="false" outlineLevel="0" collapsed="false">
      <c r="A249" s="55" t="s">
        <v>1337</v>
      </c>
      <c r="B249" s="55" t="s">
        <v>1338</v>
      </c>
      <c r="C249" s="55" t="s">
        <v>1339</v>
      </c>
      <c r="D249" s="56" t="n">
        <f aca="false">Supuestos!H36</f>
        <v>0.07</v>
      </c>
    </row>
    <row r="250" customFormat="false" ht="15" hidden="false" customHeight="false" outlineLevel="0" collapsed="false">
      <c r="A250" s="55" t="s">
        <v>1340</v>
      </c>
      <c r="B250" s="55" t="s">
        <v>1341</v>
      </c>
      <c r="C250" s="55" t="s">
        <v>1342</v>
      </c>
      <c r="D250" s="56" t="n">
        <f aca="false">Supuestos!D37</f>
        <v>0.2</v>
      </c>
    </row>
    <row r="251" customFormat="false" ht="15" hidden="false" customHeight="false" outlineLevel="0" collapsed="false">
      <c r="A251" s="55" t="s">
        <v>1343</v>
      </c>
      <c r="B251" s="55" t="s">
        <v>1344</v>
      </c>
      <c r="C251" s="55" t="s">
        <v>1345</v>
      </c>
      <c r="D251" s="56" t="n">
        <f aca="false">Supuestos!D38</f>
        <v>2.4</v>
      </c>
    </row>
    <row r="252" customFormat="false" ht="15" hidden="false" customHeight="false" outlineLevel="0" collapsed="false">
      <c r="A252" s="55" t="s">
        <v>1346</v>
      </c>
      <c r="B252" s="55" t="s">
        <v>1347</v>
      </c>
      <c r="C252" s="55" t="s">
        <v>1348</v>
      </c>
      <c r="D252" s="56" t="n">
        <f aca="false">Supuestos!D39</f>
        <v>0.4</v>
      </c>
    </row>
    <row r="253" customFormat="false" ht="15" hidden="false" customHeight="false" outlineLevel="0" collapsed="false">
      <c r="A253" s="55" t="s">
        <v>1349</v>
      </c>
      <c r="B253" s="55" t="s">
        <v>1350</v>
      </c>
      <c r="C253" s="55" t="s">
        <v>1351</v>
      </c>
      <c r="D253" s="56" t="n">
        <f aca="false">Supuestos!D41</f>
        <v>0.14</v>
      </c>
    </row>
    <row r="254" customFormat="false" ht="15" hidden="false" customHeight="false" outlineLevel="0" collapsed="false">
      <c r="A254" s="55" t="s">
        <v>1352</v>
      </c>
      <c r="B254" s="55" t="s">
        <v>1353</v>
      </c>
      <c r="C254" s="55" t="s">
        <v>1354</v>
      </c>
      <c r="D254" s="56" t="n">
        <f aca="false">Supuestos!H41</f>
        <v>0.155</v>
      </c>
    </row>
    <row r="255" customFormat="false" ht="15" hidden="false" customHeight="false" outlineLevel="0" collapsed="false">
      <c r="A255" s="55" t="s">
        <v>1355</v>
      </c>
      <c r="B255" s="55" t="s">
        <v>1356</v>
      </c>
      <c r="C255" s="55" t="s">
        <v>1357</v>
      </c>
      <c r="D255" s="56" t="n">
        <f aca="false">Supuestos!C49</f>
        <v>35.5364897898237</v>
      </c>
    </row>
    <row r="256" customFormat="false" ht="15" hidden="false" customHeight="false" outlineLevel="0" collapsed="false">
      <c r="A256" s="55" t="s">
        <v>1358</v>
      </c>
      <c r="B256" s="55" t="s">
        <v>1359</v>
      </c>
      <c r="C256" s="55" t="s">
        <v>1360</v>
      </c>
      <c r="D256" s="56" t="n">
        <f aca="false">Supuestos!C51</f>
        <v>6.84505830201274</v>
      </c>
    </row>
    <row r="257" customFormat="false" ht="15" hidden="false" customHeight="false" outlineLevel="0" collapsed="false">
      <c r="A257" s="55" t="s">
        <v>1361</v>
      </c>
      <c r="B257" s="55" t="s">
        <v>374</v>
      </c>
      <c r="C257" s="55" t="s">
        <v>1362</v>
      </c>
      <c r="D257" s="56" t="n">
        <f aca="false">Deuda!C3</f>
        <v>1033.325</v>
      </c>
    </row>
    <row r="258" customFormat="false" ht="15" hidden="false" customHeight="false" outlineLevel="0" collapsed="false">
      <c r="A258" s="55" t="s">
        <v>1363</v>
      </c>
      <c r="B258" s="55" t="s">
        <v>378</v>
      </c>
      <c r="C258" s="55" t="s">
        <v>1364</v>
      </c>
      <c r="D258" s="56" t="n">
        <f aca="false">Deuda!C6</f>
        <v>40.7792422449141</v>
      </c>
    </row>
    <row r="259" customFormat="false" ht="15" hidden="false" customHeight="false" outlineLevel="0" collapsed="false">
      <c r="A259" s="55" t="s">
        <v>1365</v>
      </c>
      <c r="B259" s="55" t="s">
        <v>1366</v>
      </c>
      <c r="C259" s="55" t="s">
        <v>1367</v>
      </c>
      <c r="D259" s="56" t="n">
        <f aca="false">Proyeccion!C8</f>
        <v>3946.264</v>
      </c>
    </row>
    <row r="260" customFormat="false" ht="15" hidden="false" customHeight="false" outlineLevel="0" collapsed="false">
      <c r="A260" s="55" t="s">
        <v>1368</v>
      </c>
      <c r="B260" s="55" t="s">
        <v>1369</v>
      </c>
      <c r="C260" s="55" t="s">
        <v>1370</v>
      </c>
      <c r="D260" s="56" t="n">
        <f aca="false">Proyeccion!D8</f>
        <v>4509.10333023873</v>
      </c>
    </row>
    <row r="261" customFormat="false" ht="15" hidden="false" customHeight="false" outlineLevel="0" collapsed="false">
      <c r="A261" s="55" t="s">
        <v>1371</v>
      </c>
      <c r="B261" s="55" t="s">
        <v>1372</v>
      </c>
      <c r="C261" s="55" t="s">
        <v>1373</v>
      </c>
      <c r="D261" s="56" t="n">
        <f aca="false">Proyeccion!F8</f>
        <v>5782.92502103118</v>
      </c>
    </row>
    <row r="262" customFormat="false" ht="15" hidden="false" customHeight="false" outlineLevel="0" collapsed="false">
      <c r="A262" s="55" t="s">
        <v>1374</v>
      </c>
      <c r="B262" s="55" t="s">
        <v>1375</v>
      </c>
      <c r="C262" s="55" t="s">
        <v>1376</v>
      </c>
      <c r="D262" s="56" t="n">
        <f aca="false">Proyeccion!H8</f>
        <v>6806.5027497537</v>
      </c>
    </row>
    <row r="263" customFormat="false" ht="15" hidden="false" customHeight="false" outlineLevel="0" collapsed="false">
      <c r="A263" s="55" t="s">
        <v>1377</v>
      </c>
      <c r="B263" s="55" t="s">
        <v>1378</v>
      </c>
      <c r="C263" s="55" t="s">
        <v>1379</v>
      </c>
      <c r="D263" s="56" t="n">
        <f aca="false">Proyeccion!C12</f>
        <v>1033.325</v>
      </c>
    </row>
    <row r="264" customFormat="false" ht="15" hidden="false" customHeight="false" outlineLevel="0" collapsed="false">
      <c r="A264" s="55" t="s">
        <v>1380</v>
      </c>
      <c r="B264" s="55" t="s">
        <v>1381</v>
      </c>
      <c r="C264" s="55" t="s">
        <v>1382</v>
      </c>
      <c r="D264" s="56" t="n">
        <f aca="false">Proyeccion!D12</f>
        <v>1111.14040157028</v>
      </c>
    </row>
    <row r="265" customFormat="false" ht="15" hidden="false" customHeight="false" outlineLevel="0" collapsed="false">
      <c r="A265" s="55" t="s">
        <v>1383</v>
      </c>
      <c r="B265" s="55" t="s">
        <v>1384</v>
      </c>
      <c r="C265" s="55" t="s">
        <v>1385</v>
      </c>
      <c r="D265" s="56" t="n">
        <f aca="false">Proyeccion!F12</f>
        <v>1425.03756501389</v>
      </c>
    </row>
    <row r="266" customFormat="false" ht="15" hidden="false" customHeight="false" outlineLevel="0" collapsed="false">
      <c r="A266" s="55" t="s">
        <v>1386</v>
      </c>
      <c r="B266" s="55" t="s">
        <v>1387</v>
      </c>
      <c r="C266" s="55" t="s">
        <v>1388</v>
      </c>
      <c r="D266" s="56" t="n">
        <f aca="false">Proyeccion!H12</f>
        <v>1677.26921402134</v>
      </c>
    </row>
    <row r="267" customFormat="false" ht="15" hidden="false" customHeight="false" outlineLevel="0" collapsed="false">
      <c r="A267" s="55" t="s">
        <v>1389</v>
      </c>
      <c r="B267" s="55" t="s">
        <v>1390</v>
      </c>
      <c r="C267" s="55" t="s">
        <v>1391</v>
      </c>
      <c r="D267" s="56" t="n">
        <f aca="false">Proyeccion!C13</f>
        <v>0.261848928505544</v>
      </c>
    </row>
    <row r="268" customFormat="false" ht="15" hidden="false" customHeight="false" outlineLevel="0" collapsed="false">
      <c r="A268" s="55" t="s">
        <v>1392</v>
      </c>
      <c r="B268" s="55" t="s">
        <v>1393</v>
      </c>
      <c r="C268" s="55" t="s">
        <v>1394</v>
      </c>
      <c r="D268" s="56" t="n">
        <f aca="false">Proyeccion!F13</f>
        <v>0.246421587662187</v>
      </c>
    </row>
    <row r="269" customFormat="false" ht="15" hidden="false" customHeight="false" outlineLevel="0" collapsed="false">
      <c r="A269" s="55" t="s">
        <v>1395</v>
      </c>
      <c r="B269" s="55" t="s">
        <v>1396</v>
      </c>
      <c r="C269" s="55" t="s">
        <v>1397</v>
      </c>
      <c r="D269" s="56" t="n">
        <f aca="false">Proyeccion!H13</f>
        <v>0.246421587662187</v>
      </c>
    </row>
    <row r="270" customFormat="false" ht="15" hidden="false" customHeight="false" outlineLevel="0" collapsed="false">
      <c r="A270" s="55" t="s">
        <v>1398</v>
      </c>
      <c r="B270" s="55" t="s">
        <v>1399</v>
      </c>
      <c r="C270" s="55" t="s">
        <v>1400</v>
      </c>
      <c r="D270" s="56" t="n">
        <f aca="false">Proyeccion!F17</f>
        <v>334.559287115526</v>
      </c>
    </row>
    <row r="271" customFormat="false" ht="15" hidden="false" customHeight="false" outlineLevel="0" collapsed="false">
      <c r="A271" s="55" t="s">
        <v>1401</v>
      </c>
      <c r="B271" s="55" t="s">
        <v>1402</v>
      </c>
      <c r="C271" s="55" t="s">
        <v>1403</v>
      </c>
      <c r="D271" s="56" t="n">
        <f aca="false">Proyeccion!H17</f>
        <v>434.615297433496</v>
      </c>
    </row>
    <row r="272" customFormat="false" ht="15" hidden="false" customHeight="false" outlineLevel="0" collapsed="false">
      <c r="A272" s="55" t="s">
        <v>1404</v>
      </c>
      <c r="B272" s="55" t="s">
        <v>1405</v>
      </c>
      <c r="C272" s="55" t="s">
        <v>1406</v>
      </c>
      <c r="D272" s="56" t="n">
        <f aca="false">Proyeccion!D27</f>
        <v>631.274466233423</v>
      </c>
    </row>
    <row r="273" customFormat="false" ht="15" hidden="false" customHeight="false" outlineLevel="0" collapsed="false">
      <c r="A273" s="55" t="s">
        <v>1407</v>
      </c>
      <c r="B273" s="55" t="s">
        <v>1408</v>
      </c>
      <c r="C273" s="55" t="s">
        <v>1409</v>
      </c>
      <c r="D273" s="56" t="n">
        <f aca="false">Proyeccion!F27</f>
        <v>867.438753154676</v>
      </c>
    </row>
    <row r="274" customFormat="false" ht="15" hidden="false" customHeight="false" outlineLevel="0" collapsed="false">
      <c r="A274" s="55" t="s">
        <v>1410</v>
      </c>
      <c r="B274" s="55" t="s">
        <v>1411</v>
      </c>
      <c r="C274" s="55" t="s">
        <v>1412</v>
      </c>
      <c r="D274" s="56" t="n">
        <f aca="false">Proyeccion!H27</f>
        <v>1055.00792621182</v>
      </c>
    </row>
    <row r="275" customFormat="false" ht="15" hidden="false" customHeight="false" outlineLevel="0" collapsed="false">
      <c r="A275" s="55" t="s">
        <v>1413</v>
      </c>
      <c r="B275" s="55" t="s">
        <v>1414</v>
      </c>
      <c r="C275" s="55" t="s">
        <v>1415</v>
      </c>
      <c r="D275" s="56" t="n">
        <f aca="false">Proyeccion!D28</f>
        <v>291.623237389733</v>
      </c>
    </row>
    <row r="276" customFormat="false" ht="15" hidden="false" customHeight="false" outlineLevel="0" collapsed="false">
      <c r="A276" s="55" t="s">
        <v>1416</v>
      </c>
      <c r="B276" s="55" t="s">
        <v>1417</v>
      </c>
      <c r="C276" s="55" t="s">
        <v>1418</v>
      </c>
      <c r="D276" s="56" t="n">
        <f aca="false">Proyeccion!F28</f>
        <v>314.538996821881</v>
      </c>
    </row>
    <row r="277" customFormat="false" ht="15" hidden="false" customHeight="false" outlineLevel="0" collapsed="false">
      <c r="A277" s="55" t="s">
        <v>1419</v>
      </c>
      <c r="B277" s="55" t="s">
        <v>1420</v>
      </c>
      <c r="C277" s="55" t="s">
        <v>1421</v>
      </c>
      <c r="D277" s="56" t="n">
        <f aca="false">Proyeccion!H28</f>
        <v>318.643695013695</v>
      </c>
    </row>
    <row r="278" customFormat="false" ht="15" hidden="false" customHeight="false" outlineLevel="0" collapsed="false">
      <c r="A278" s="55" t="s">
        <v>1422</v>
      </c>
      <c r="B278" s="55" t="s">
        <v>1423</v>
      </c>
      <c r="C278" s="55" t="s">
        <v>1424</v>
      </c>
      <c r="D278" s="56" t="n">
        <f aca="false">Historicos!E14</f>
        <v>84.679</v>
      </c>
    </row>
    <row r="279" customFormat="false" ht="15" hidden="false" customHeight="false" outlineLevel="0" collapsed="false">
      <c r="A279" s="55" t="s">
        <v>1425</v>
      </c>
      <c r="B279" s="55" t="s">
        <v>1426</v>
      </c>
      <c r="C279" s="55" t="s">
        <v>1427</v>
      </c>
      <c r="D279" s="56" t="n">
        <f aca="false">Proyeccion!D50</f>
        <v>199.428958364936</v>
      </c>
    </row>
    <row r="280" customFormat="false" ht="15" hidden="false" customHeight="false" outlineLevel="0" collapsed="false">
      <c r="A280" s="55" t="s">
        <v>1428</v>
      </c>
      <c r="B280" s="55" t="s">
        <v>1429</v>
      </c>
      <c r="C280" s="55" t="s">
        <v>1430</v>
      </c>
      <c r="D280" s="56" t="n">
        <f aca="false">Proyeccion!D51</f>
        <v>0</v>
      </c>
    </row>
    <row r="281" customFormat="false" ht="15" hidden="false" customHeight="false" outlineLevel="0" collapsed="false">
      <c r="A281" s="55" t="s">
        <v>1431</v>
      </c>
      <c r="B281" s="55" t="s">
        <v>1432</v>
      </c>
      <c r="C281" s="55" t="s">
        <v>1433</v>
      </c>
      <c r="D281" s="56" t="n">
        <f aca="false">Proyeccion!F50</f>
        <v>165.798717570027</v>
      </c>
    </row>
    <row r="282" customFormat="false" ht="15" hidden="false" customHeight="false" outlineLevel="0" collapsed="false">
      <c r="A282" s="55" t="s">
        <v>1434</v>
      </c>
      <c r="B282" s="55" t="s">
        <v>1435</v>
      </c>
      <c r="C282" s="55" t="s">
        <v>1436</v>
      </c>
      <c r="D282" s="56" t="n">
        <f aca="false">Proyeccion!F51</f>
        <v>10.762777053449</v>
      </c>
    </row>
    <row r="283" customFormat="false" ht="15" hidden="false" customHeight="false" outlineLevel="0" collapsed="false">
      <c r="A283" s="55" t="s">
        <v>1437</v>
      </c>
      <c r="B283" s="55" t="s">
        <v>1438</v>
      </c>
      <c r="C283" s="55" t="s">
        <v>1439</v>
      </c>
      <c r="D283" s="56" t="n">
        <f aca="false">Proyeccion!H50</f>
        <v>128.267450648996</v>
      </c>
    </row>
    <row r="284" customFormat="false" ht="15" hidden="false" customHeight="false" outlineLevel="0" collapsed="false">
      <c r="A284" s="55" t="s">
        <v>1440</v>
      </c>
      <c r="B284" s="55" t="s">
        <v>1441</v>
      </c>
      <c r="C284" s="55" t="s">
        <v>1442</v>
      </c>
      <c r="D284" s="56" t="n">
        <f aca="false">Proyeccion!H51</f>
        <v>23.6416544600762</v>
      </c>
    </row>
    <row r="285" customFormat="false" ht="15" hidden="false" customHeight="false" outlineLevel="0" collapsed="false">
      <c r="A285" s="55" t="s">
        <v>1443</v>
      </c>
      <c r="B285" s="55" t="s">
        <v>1444</v>
      </c>
      <c r="C285" s="55" t="s">
        <v>1445</v>
      </c>
      <c r="D285" s="56" t="n">
        <f aca="false">Proyeccion!D54</f>
        <v>123.889274073887</v>
      </c>
    </row>
    <row r="286" customFormat="false" ht="15" hidden="false" customHeight="false" outlineLevel="0" collapsed="false">
      <c r="A286" s="55" t="s">
        <v>1446</v>
      </c>
      <c r="B286" s="55" t="s">
        <v>1447</v>
      </c>
      <c r="C286" s="55" t="s">
        <v>1448</v>
      </c>
      <c r="D286" s="56" t="n">
        <f aca="false">Proyeccion!F54</f>
        <v>228.62239034144</v>
      </c>
    </row>
    <row r="287" customFormat="false" ht="15" hidden="false" customHeight="false" outlineLevel="0" collapsed="false">
      <c r="A287" s="55" t="s">
        <v>1449</v>
      </c>
      <c r="B287" s="55" t="s">
        <v>1450</v>
      </c>
      <c r="C287" s="55" t="s">
        <v>1451</v>
      </c>
      <c r="D287" s="56" t="n">
        <f aca="false">Proyeccion!H54</f>
        <v>343.469834368053</v>
      </c>
    </row>
    <row r="288" customFormat="false" ht="15" hidden="false" customHeight="false" outlineLevel="0" collapsed="false">
      <c r="A288" s="55" t="s">
        <v>1452</v>
      </c>
      <c r="B288" s="55" t="s">
        <v>1453</v>
      </c>
      <c r="C288" s="55" t="s">
        <v>1454</v>
      </c>
      <c r="D288" s="56" t="n">
        <f aca="false">Proyeccion!C71</f>
        <v>3757.54545454546</v>
      </c>
    </row>
    <row r="289" customFormat="false" ht="15" hidden="false" customHeight="false" outlineLevel="0" collapsed="false">
      <c r="A289" s="55" t="s">
        <v>1455</v>
      </c>
      <c r="B289" s="55" t="s">
        <v>1456</v>
      </c>
      <c r="C289" s="55" t="s">
        <v>1457</v>
      </c>
      <c r="D289" s="56" t="n">
        <f aca="false">Proyeccion!D71</f>
        <v>3467.62350597142</v>
      </c>
    </row>
    <row r="290" customFormat="false" ht="15" hidden="false" customHeight="false" outlineLevel="0" collapsed="false">
      <c r="A290" s="55" t="s">
        <v>1458</v>
      </c>
      <c r="B290" s="55" t="s">
        <v>1459</v>
      </c>
      <c r="C290" s="55" t="s">
        <v>1460</v>
      </c>
      <c r="D290" s="56" t="n">
        <f aca="false">Proyeccion!F71</f>
        <v>2837.79549123058</v>
      </c>
    </row>
    <row r="291" customFormat="false" ht="15" hidden="false" customHeight="false" outlineLevel="0" collapsed="false">
      <c r="A291" s="55" t="s">
        <v>1461</v>
      </c>
      <c r="B291" s="55" t="s">
        <v>1462</v>
      </c>
      <c r="C291" s="55" t="s">
        <v>1463</v>
      </c>
      <c r="D291" s="56" t="n">
        <f aca="false">Proyeccion!H71</f>
        <v>2134.90895884631</v>
      </c>
    </row>
    <row r="292" customFormat="false" ht="15" hidden="false" customHeight="false" outlineLevel="0" collapsed="false">
      <c r="A292" s="55" t="s">
        <v>1464</v>
      </c>
      <c r="B292" s="55" t="s">
        <v>1465</v>
      </c>
      <c r="C292" s="55" t="s">
        <v>1466</v>
      </c>
      <c r="D292" s="56" t="n">
        <f aca="false">Proyeccion!D70</f>
        <v>117.956086203262</v>
      </c>
    </row>
    <row r="293" customFormat="false" ht="15" hidden="false" customHeight="false" outlineLevel="0" collapsed="false">
      <c r="A293" s="55" t="s">
        <v>1467</v>
      </c>
      <c r="B293" s="55" t="s">
        <v>1468</v>
      </c>
      <c r="C293" s="55" t="s">
        <v>1469</v>
      </c>
      <c r="D293" s="56" t="n">
        <f aca="false">Proyeccion!F70</f>
        <v>310.636944838402</v>
      </c>
    </row>
    <row r="294" customFormat="false" ht="15" hidden="false" customHeight="false" outlineLevel="0" collapsed="false">
      <c r="A294" s="55" t="s">
        <v>1470</v>
      </c>
      <c r="B294" s="55" t="s">
        <v>1471</v>
      </c>
      <c r="C294" s="55" t="s">
        <v>1472</v>
      </c>
      <c r="D294" s="56" t="n">
        <f aca="false">Proyeccion!D89</f>
        <v>3.22693656634885</v>
      </c>
    </row>
    <row r="295" customFormat="false" ht="15" hidden="false" customHeight="false" outlineLevel="0" collapsed="false">
      <c r="A295" s="55" t="s">
        <v>1473</v>
      </c>
      <c r="B295" s="55" t="s">
        <v>1474</v>
      </c>
      <c r="C295" s="55" t="s">
        <v>1475</v>
      </c>
      <c r="D295" s="56" t="n">
        <f aca="false">Proyeccion!F89</f>
        <v>2.20936802886197</v>
      </c>
    </row>
    <row r="296" customFormat="false" ht="15" hidden="false" customHeight="false" outlineLevel="0" collapsed="false">
      <c r="A296" s="55" t="s">
        <v>1476</v>
      </c>
      <c r="B296" s="55" t="s">
        <v>1477</v>
      </c>
      <c r="C296" s="55" t="s">
        <v>1478</v>
      </c>
      <c r="D296" s="56" t="n">
        <f aca="false">Proyeccion!H89</f>
        <v>1.60877122380914</v>
      </c>
    </row>
    <row r="297" customFormat="false" ht="15" hidden="false" customHeight="false" outlineLevel="0" collapsed="false">
      <c r="A297" s="55" t="s">
        <v>1479</v>
      </c>
      <c r="B297" s="55" t="s">
        <v>1480</v>
      </c>
      <c r="C297" s="55" t="s">
        <v>1481</v>
      </c>
      <c r="D297" s="56" t="n">
        <f aca="false">Proyeccion!D90</f>
        <v>5.5716101146003</v>
      </c>
    </row>
    <row r="298" customFormat="false" ht="15" hidden="false" customHeight="false" outlineLevel="0" collapsed="false">
      <c r="A298" s="55" t="s">
        <v>1482</v>
      </c>
      <c r="B298" s="55" t="s">
        <v>1483</v>
      </c>
      <c r="C298" s="55" t="s">
        <v>1484</v>
      </c>
      <c r="D298" s="56" t="n">
        <f aca="false">Proyeccion!F90</f>
        <v>8.07105517572124</v>
      </c>
    </row>
    <row r="299" customFormat="false" ht="15" hidden="false" customHeight="false" outlineLevel="0" collapsed="false">
      <c r="A299" s="55" t="s">
        <v>1485</v>
      </c>
      <c r="B299" s="55" t="s">
        <v>1486</v>
      </c>
      <c r="C299" s="55" t="s">
        <v>1487</v>
      </c>
      <c r="D299" s="56" t="n">
        <f aca="false">Proyeccion!H90</f>
        <v>11.0412684797073</v>
      </c>
    </row>
    <row r="300" customFormat="false" ht="15" hidden="false" customHeight="false" outlineLevel="0" collapsed="false">
      <c r="A300" s="55" t="s">
        <v>1488</v>
      </c>
      <c r="B300" s="55" t="s">
        <v>1489</v>
      </c>
      <c r="C300" s="55" t="s">
        <v>1490</v>
      </c>
      <c r="D300" s="56" t="n">
        <f aca="false">Proyeccion!C86</f>
        <v>0.11429949947596</v>
      </c>
    </row>
    <row r="301" customFormat="false" ht="15" hidden="false" customHeight="false" outlineLevel="0" collapsed="false">
      <c r="A301" s="55" t="s">
        <v>1491</v>
      </c>
      <c r="B301" s="55" t="s">
        <v>1492</v>
      </c>
      <c r="C301" s="55" t="s">
        <v>1493</v>
      </c>
      <c r="D301" s="56" t="n">
        <f aca="false">Proyeccion!D86</f>
        <v>0.0900203548451227</v>
      </c>
    </row>
    <row r="302" customFormat="false" ht="15" hidden="false" customHeight="false" outlineLevel="0" collapsed="false">
      <c r="A302" s="55" t="s">
        <v>1494</v>
      </c>
      <c r="B302" s="55" t="s">
        <v>1495</v>
      </c>
      <c r="C302" s="55" t="s">
        <v>1496</v>
      </c>
      <c r="D302" s="56" t="n">
        <f aca="false">Proyeccion!F86</f>
        <v>0.0964215876621866</v>
      </c>
    </row>
    <row r="303" customFormat="false" ht="15" hidden="false" customHeight="false" outlineLevel="0" collapsed="false">
      <c r="A303" s="55" t="s">
        <v>1497</v>
      </c>
      <c r="B303" s="55" t="s">
        <v>1498</v>
      </c>
      <c r="C303" s="55" t="s">
        <v>1499</v>
      </c>
      <c r="D303" s="56" t="n">
        <f aca="false">Proyeccion!H86</f>
        <v>0.106421587662186</v>
      </c>
    </row>
    <row r="304" customFormat="false" ht="15" hidden="false" customHeight="false" outlineLevel="0" collapsed="false">
      <c r="A304" s="55" t="s">
        <v>1500</v>
      </c>
      <c r="B304" s="55" t="s">
        <v>674</v>
      </c>
      <c r="C304" s="55" t="s">
        <v>1501</v>
      </c>
      <c r="D304" s="56" t="n">
        <f aca="false">Control!G13</f>
        <v>0</v>
      </c>
    </row>
    <row r="305" customFormat="false" ht="15" hidden="false" customHeight="false" outlineLevel="0" collapsed="false">
      <c r="A305" s="55" t="s">
        <v>1502</v>
      </c>
      <c r="B305" s="55" t="s">
        <v>677</v>
      </c>
      <c r="C305" s="55" t="s">
        <v>1503</v>
      </c>
      <c r="D305" s="56" t="n">
        <f aca="false">Control!G14</f>
        <v>0</v>
      </c>
    </row>
    <row r="306" customFormat="false" ht="15" hidden="false" customHeight="false" outlineLevel="0" collapsed="false">
      <c r="A306" s="55" t="s">
        <v>1504</v>
      </c>
      <c r="B306" s="55" t="s">
        <v>1186</v>
      </c>
      <c r="C306" s="55" t="s">
        <v>1505</v>
      </c>
      <c r="D306" s="56" t="n">
        <f aca="false">Sensibilidad!B4</f>
        <v>0.015</v>
      </c>
    </row>
    <row r="307" customFormat="false" ht="15" hidden="false" customHeight="false" outlineLevel="0" collapsed="false">
      <c r="A307" s="55" t="s">
        <v>1506</v>
      </c>
      <c r="B307" s="55" t="s">
        <v>1186</v>
      </c>
      <c r="C307" s="55" t="s">
        <v>1507</v>
      </c>
      <c r="D307" s="56" t="n">
        <f aca="false">Sensibilidad!E4</f>
        <v>0.03</v>
      </c>
    </row>
    <row r="308" customFormat="false" ht="15" hidden="false" customHeight="false" outlineLevel="0" collapsed="false">
      <c r="A308" s="55" t="s">
        <v>1508</v>
      </c>
      <c r="B308" s="55" t="s">
        <v>1186</v>
      </c>
      <c r="C308" s="55" t="s">
        <v>1509</v>
      </c>
      <c r="D308" s="56" t="n">
        <f aca="false">Sensibilidad!G4</f>
        <v>0.04</v>
      </c>
    </row>
    <row r="309" customFormat="false" ht="15" hidden="false" customHeight="false" outlineLevel="0" collapsed="false">
      <c r="A309" s="55" t="s">
        <v>1510</v>
      </c>
      <c r="B309" s="55" t="s">
        <v>1186</v>
      </c>
      <c r="C309" s="55" t="s">
        <v>1511</v>
      </c>
      <c r="D309" s="56" t="n">
        <f aca="false">Sensibilidad!A5</f>
        <v>0.075</v>
      </c>
    </row>
    <row r="310" customFormat="false" ht="15" hidden="false" customHeight="false" outlineLevel="0" collapsed="false">
      <c r="A310" s="55" t="s">
        <v>1512</v>
      </c>
      <c r="B310" s="55" t="s">
        <v>1186</v>
      </c>
      <c r="C310" s="55" t="s">
        <v>1513</v>
      </c>
      <c r="D310" s="56" t="n">
        <f aca="false">Sensibilidad!B5</f>
        <v>7110.69060951296</v>
      </c>
    </row>
    <row r="311" customFormat="false" ht="15" hidden="false" customHeight="false" outlineLevel="0" collapsed="false">
      <c r="A311" s="55" t="s">
        <v>1514</v>
      </c>
      <c r="B311" s="55" t="s">
        <v>1186</v>
      </c>
      <c r="C311" s="55" t="s">
        <v>1515</v>
      </c>
      <c r="D311" s="56" t="n">
        <f aca="false">Sensibilidad!D5</f>
        <v>7605.69519467879</v>
      </c>
    </row>
    <row r="312" customFormat="false" ht="15" hidden="false" customHeight="false" outlineLevel="0" collapsed="false">
      <c r="A312" s="55" t="s">
        <v>1516</v>
      </c>
      <c r="B312" s="55" t="s">
        <v>1186</v>
      </c>
      <c r="C312" s="55" t="s">
        <v>1517</v>
      </c>
      <c r="D312" s="56" t="n">
        <f aca="false">Sensibilidad!E5</f>
        <v>7943.2337652661</v>
      </c>
    </row>
    <row r="313" customFormat="false" ht="15" hidden="false" customHeight="false" outlineLevel="0" collapsed="false">
      <c r="A313" s="55" t="s">
        <v>1518</v>
      </c>
      <c r="B313" s="55" t="s">
        <v>1186</v>
      </c>
      <c r="C313" s="55" t="s">
        <v>1519</v>
      </c>
      <c r="D313" s="56" t="n">
        <f aca="false">Sensibilidad!G5</f>
        <v>8954.62409605269</v>
      </c>
    </row>
    <row r="314" customFormat="false" ht="15" hidden="false" customHeight="false" outlineLevel="0" collapsed="false">
      <c r="A314" s="55" t="s">
        <v>1520</v>
      </c>
      <c r="B314" s="55" t="s">
        <v>1186</v>
      </c>
      <c r="C314" s="55" t="s">
        <v>1521</v>
      </c>
      <c r="D314" s="56" t="n">
        <f aca="false">Sensibilidad!B7</f>
        <v>6575.56052120187</v>
      </c>
    </row>
    <row r="315" customFormat="false" ht="15" hidden="false" customHeight="false" outlineLevel="0" collapsed="false">
      <c r="A315" s="55" t="s">
        <v>1522</v>
      </c>
      <c r="B315" s="55" t="s">
        <v>1186</v>
      </c>
      <c r="C315" s="55" t="s">
        <v>1523</v>
      </c>
      <c r="D315" s="56" t="n">
        <f aca="false">Sensibilidad!E7</f>
        <v>7157.17348732007</v>
      </c>
    </row>
    <row r="316" customFormat="false" ht="15" hidden="false" customHeight="false" outlineLevel="0" collapsed="false">
      <c r="A316" s="55" t="s">
        <v>1524</v>
      </c>
      <c r="B316" s="55" t="s">
        <v>1186</v>
      </c>
      <c r="C316" s="55" t="s">
        <v>1525</v>
      </c>
      <c r="D316" s="56" t="n">
        <f aca="false">Sensibilidad!G7</f>
        <v>7810.60322428367</v>
      </c>
    </row>
    <row r="317" customFormat="false" ht="15" hidden="false" customHeight="false" outlineLevel="0" collapsed="false">
      <c r="A317" s="55" t="s">
        <v>1526</v>
      </c>
      <c r="B317" s="55" t="s">
        <v>1186</v>
      </c>
      <c r="C317" s="55" t="s">
        <v>1527</v>
      </c>
      <c r="D317" s="56" t="n">
        <f aca="false">Sensibilidad!B8</f>
        <v>6340.83415610578</v>
      </c>
    </row>
    <row r="318" customFormat="false" ht="15" hidden="false" customHeight="false" outlineLevel="0" collapsed="false">
      <c r="A318" s="55" t="s">
        <v>1528</v>
      </c>
      <c r="B318" s="55" t="s">
        <v>1186</v>
      </c>
      <c r="C318" s="55" t="s">
        <v>1529</v>
      </c>
      <c r="D318" s="56" t="n">
        <f aca="false">Sensibilidad!E8</f>
        <v>6827.68275166513</v>
      </c>
    </row>
    <row r="319" customFormat="false" ht="15" hidden="false" customHeight="false" outlineLevel="0" collapsed="false">
      <c r="A319" s="55" t="s">
        <v>1530</v>
      </c>
      <c r="B319" s="55" t="s">
        <v>1186</v>
      </c>
      <c r="C319" s="55" t="s">
        <v>1531</v>
      </c>
      <c r="D319" s="56" t="n">
        <f aca="false">Sensibilidad!G8</f>
        <v>7356.375731396</v>
      </c>
    </row>
    <row r="320" customFormat="false" ht="15" hidden="false" customHeight="false" outlineLevel="0" collapsed="false">
      <c r="A320" s="55" t="s">
        <v>1532</v>
      </c>
      <c r="B320" s="55" t="s">
        <v>1186</v>
      </c>
      <c r="C320" s="55" t="s">
        <v>1533</v>
      </c>
      <c r="D320" s="56" t="n">
        <f aca="false">Sensibilidad!A9</f>
        <v>0.085</v>
      </c>
    </row>
    <row r="321" customFormat="false" ht="15" hidden="false" customHeight="false" outlineLevel="0" collapsed="false">
      <c r="A321" s="55" t="s">
        <v>1534</v>
      </c>
      <c r="B321" s="55" t="s">
        <v>1186</v>
      </c>
      <c r="C321" s="55" t="s">
        <v>1535</v>
      </c>
      <c r="D321" s="56" t="n">
        <f aca="false">Sensibilidad!B9</f>
        <v>6124.56795334879</v>
      </c>
    </row>
    <row r="322" customFormat="false" ht="15" hidden="false" customHeight="false" outlineLevel="0" collapsed="false">
      <c r="A322" s="55" t="s">
        <v>1536</v>
      </c>
      <c r="B322" s="55" t="s">
        <v>1186</v>
      </c>
      <c r="C322" s="55" t="s">
        <v>1537</v>
      </c>
      <c r="D322" s="56" t="n">
        <f aca="false">Sensibilidad!D9</f>
        <v>6373.4539969792</v>
      </c>
    </row>
    <row r="323" customFormat="false" ht="15" hidden="false" customHeight="false" outlineLevel="0" collapsed="false">
      <c r="A323" s="55" t="s">
        <v>1538</v>
      </c>
      <c r="B323" s="55" t="s">
        <v>1186</v>
      </c>
      <c r="C323" s="55" t="s">
        <v>1539</v>
      </c>
      <c r="D323" s="56" t="n">
        <f aca="false">Sensibilidad!E9</f>
        <v>6531.87499797283</v>
      </c>
    </row>
    <row r="324" customFormat="false" ht="15" hidden="false" customHeight="false" outlineLevel="0" collapsed="false">
      <c r="A324" s="55" t="s">
        <v>1540</v>
      </c>
      <c r="B324" s="55" t="s">
        <v>1186</v>
      </c>
      <c r="C324" s="55" t="s">
        <v>1541</v>
      </c>
      <c r="D324" s="56" t="n">
        <f aca="false">Sensibilidad!G9</f>
        <v>6960.44396916891</v>
      </c>
    </row>
    <row r="325" customFormat="false" ht="15" hidden="false" customHeight="false" outlineLevel="0" collapsed="false">
      <c r="A325" s="55" t="s">
        <v>1542</v>
      </c>
      <c r="B325" s="55" t="s">
        <v>1186</v>
      </c>
      <c r="C325" s="55" t="s">
        <v>1543</v>
      </c>
      <c r="D325" s="56" t="n">
        <f aca="false">Sensibilidad!A11</f>
        <v>0.09</v>
      </c>
    </row>
    <row r="326" customFormat="false" ht="15" hidden="false" customHeight="false" outlineLevel="0" collapsed="false">
      <c r="A326" s="55" t="s">
        <v>1544</v>
      </c>
      <c r="B326" s="55" t="s">
        <v>1186</v>
      </c>
      <c r="C326" s="55" t="s">
        <v>1545</v>
      </c>
      <c r="D326" s="56" t="n">
        <f aca="false">Sensibilidad!B11</f>
        <v>5739.363811684</v>
      </c>
    </row>
    <row r="327" customFormat="false" ht="15" hidden="false" customHeight="false" outlineLevel="0" collapsed="false">
      <c r="A327" s="55" t="s">
        <v>1546</v>
      </c>
      <c r="B327" s="55" t="s">
        <v>1186</v>
      </c>
      <c r="C327" s="55" t="s">
        <v>1547</v>
      </c>
      <c r="D327" s="56" t="n">
        <f aca="false">Sensibilidad!D11</f>
        <v>5914.3997996586</v>
      </c>
    </row>
    <row r="328" customFormat="false" ht="15" hidden="false" customHeight="false" outlineLevel="0" collapsed="false">
      <c r="A328" s="55" t="s">
        <v>1548</v>
      </c>
      <c r="B328" s="55" t="s">
        <v>1186</v>
      </c>
      <c r="C328" s="55" t="s">
        <v>1549</v>
      </c>
      <c r="D328" s="56" t="n">
        <f aca="false">Sensibilidad!E11</f>
        <v>6022.53409018226</v>
      </c>
    </row>
    <row r="329" customFormat="false" ht="15" hidden="false" customHeight="false" outlineLevel="0" collapsed="false">
      <c r="A329" s="55" t="s">
        <v>1550</v>
      </c>
      <c r="B329" s="55" t="s">
        <v>1186</v>
      </c>
      <c r="C329" s="55" t="s">
        <v>1551</v>
      </c>
      <c r="D329" s="56" t="n">
        <f aca="false">Sensibilidad!G11</f>
        <v>6303.56268578647</v>
      </c>
    </row>
    <row r="330" customFormat="false" ht="15" hidden="false" customHeight="false" outlineLevel="0" collapsed="false">
      <c r="A330" s="55" t="s">
        <v>1552</v>
      </c>
      <c r="B330" s="55" t="s">
        <v>1553</v>
      </c>
      <c r="C330" s="55" t="s">
        <v>1554</v>
      </c>
      <c r="D330" s="56" t="n">
        <f aca="false">Supuestos!D63</f>
        <v>-0.03</v>
      </c>
    </row>
    <row r="331" customFormat="false" ht="15" hidden="false" customHeight="false" outlineLevel="0" collapsed="false">
      <c r="A331" s="55" t="s">
        <v>1555</v>
      </c>
      <c r="B331" s="55" t="s">
        <v>1556</v>
      </c>
      <c r="C331" s="55" t="s">
        <v>1557</v>
      </c>
      <c r="D331" s="56" t="n">
        <f aca="false">Supuestos!E64</f>
        <v>0.02</v>
      </c>
    </row>
    <row r="332" customFormat="false" ht="15" hidden="false" customHeight="false" outlineLevel="0" collapsed="false">
      <c r="A332" s="55" t="s">
        <v>1558</v>
      </c>
      <c r="B332" s="55" t="s">
        <v>1559</v>
      </c>
      <c r="C332" s="55" t="s">
        <v>1560</v>
      </c>
      <c r="D332" s="56" t="n">
        <f aca="false">Escenarios!C181</f>
        <v>1677.26921402134</v>
      </c>
    </row>
    <row r="333" customFormat="false" ht="15" hidden="false" customHeight="false" outlineLevel="0" collapsed="false">
      <c r="A333" s="55" t="s">
        <v>1561</v>
      </c>
      <c r="B333" s="55" t="s">
        <v>1562</v>
      </c>
      <c r="C333" s="55" t="s">
        <v>1563</v>
      </c>
      <c r="D333" s="56" t="n">
        <f aca="false">Escenarios!D181</f>
        <v>1463.32664802583</v>
      </c>
    </row>
    <row r="334" customFormat="false" ht="15" hidden="false" customHeight="false" outlineLevel="0" collapsed="false">
      <c r="A334" s="55" t="s">
        <v>1564</v>
      </c>
      <c r="B334" s="55" t="s">
        <v>1565</v>
      </c>
      <c r="C334" s="55" t="s">
        <v>1566</v>
      </c>
      <c r="D334" s="56" t="n">
        <f aca="false">Escenarios!E181</f>
        <v>1541.13915902627</v>
      </c>
    </row>
    <row r="335" customFormat="false" ht="15" hidden="false" customHeight="false" outlineLevel="0" collapsed="false">
      <c r="A335" s="55" t="s">
        <v>1567</v>
      </c>
      <c r="B335" s="55" t="s">
        <v>1568</v>
      </c>
      <c r="C335" s="55" t="s">
        <v>1569</v>
      </c>
      <c r="D335" s="56" t="n">
        <f aca="false">Escenarios!F181</f>
        <v>1344.56053975516</v>
      </c>
    </row>
    <row r="336" customFormat="false" ht="15" hidden="false" customHeight="false" outlineLevel="0" collapsed="false">
      <c r="A336" s="55" t="s">
        <v>1570</v>
      </c>
      <c r="B336" s="55" t="s">
        <v>1571</v>
      </c>
      <c r="C336" s="55" t="s">
        <v>1572</v>
      </c>
      <c r="D336" s="56" t="n">
        <f aca="false">Escenarios!C184</f>
        <v>0.0278010646620126</v>
      </c>
    </row>
    <row r="337" customFormat="false" ht="15" hidden="false" customHeight="false" outlineLevel="0" collapsed="false">
      <c r="A337" s="55" t="s">
        <v>1573</v>
      </c>
      <c r="B337" s="55" t="s">
        <v>1574</v>
      </c>
      <c r="C337" s="55" t="s">
        <v>1575</v>
      </c>
      <c r="D337" s="56" t="n">
        <f aca="false">Escenarios!D184</f>
        <v>0.0231638601192176</v>
      </c>
    </row>
    <row r="338" customFormat="false" ht="15" hidden="false" customHeight="false" outlineLevel="0" collapsed="false">
      <c r="A338" s="55" t="s">
        <v>1576</v>
      </c>
      <c r="B338" s="55" t="s">
        <v>1577</v>
      </c>
      <c r="C338" s="55" t="s">
        <v>1578</v>
      </c>
      <c r="D338" s="56" t="n">
        <f aca="false">Escenarios!E184</f>
        <v>0.0276668937623613</v>
      </c>
    </row>
    <row r="339" customFormat="false" ht="15" hidden="false" customHeight="false" outlineLevel="0" collapsed="false">
      <c r="A339" s="55" t="s">
        <v>1579</v>
      </c>
      <c r="B339" s="55" t="s">
        <v>1580</v>
      </c>
      <c r="C339" s="55" t="s">
        <v>1581</v>
      </c>
      <c r="D339" s="56" t="n">
        <f aca="false">Escenarios!F184</f>
        <v>0.0231156076194137</v>
      </c>
    </row>
    <row r="340" customFormat="false" ht="15" hidden="false" customHeight="false" outlineLevel="0" collapsed="false">
      <c r="A340" s="55" t="s">
        <v>1582</v>
      </c>
      <c r="B340" s="55" t="s">
        <v>1583</v>
      </c>
      <c r="C340" s="55" t="s">
        <v>1584</v>
      </c>
      <c r="D340" s="56" t="n">
        <f aca="false">Escenarios!C186</f>
        <v>6758.3437142641</v>
      </c>
    </row>
    <row r="341" customFormat="false" ht="15" hidden="false" customHeight="false" outlineLevel="0" collapsed="false">
      <c r="A341" s="55" t="s">
        <v>1585</v>
      </c>
      <c r="B341" s="55" t="s">
        <v>1586</v>
      </c>
      <c r="C341" s="55" t="s">
        <v>1587</v>
      </c>
      <c r="D341" s="56" t="n">
        <f aca="false">Escenarios!D186</f>
        <v>5799.85554186662</v>
      </c>
    </row>
    <row r="342" customFormat="false" ht="15" hidden="false" customHeight="false" outlineLevel="0" collapsed="false">
      <c r="A342" s="55" t="s">
        <v>1588</v>
      </c>
      <c r="B342" s="55" t="s">
        <v>1589</v>
      </c>
      <c r="C342" s="55" t="s">
        <v>1590</v>
      </c>
      <c r="D342" s="56" t="n">
        <f aca="false">Escenarios!E186</f>
        <v>5337.07773491147</v>
      </c>
    </row>
    <row r="343" customFormat="false" ht="15" hidden="false" customHeight="false" outlineLevel="0" collapsed="false">
      <c r="A343" s="55" t="s">
        <v>1591</v>
      </c>
      <c r="B343" s="55" t="s">
        <v>1592</v>
      </c>
      <c r="C343" s="55" t="s">
        <v>1593</v>
      </c>
      <c r="D343" s="56" t="n">
        <f aca="false">Escenarios!F186</f>
        <v>4640.89030327891</v>
      </c>
    </row>
    <row r="344" customFormat="false" ht="15" hidden="false" customHeight="false" outlineLevel="0" collapsed="false">
      <c r="A344" s="55" t="s">
        <v>1594</v>
      </c>
      <c r="B344" s="55" t="s">
        <v>1595</v>
      </c>
      <c r="C344" s="55" t="s">
        <v>1596</v>
      </c>
      <c r="D344" s="56" t="n">
        <f aca="false">Escenarios!D187</f>
        <v>-958.488172397485</v>
      </c>
    </row>
    <row r="345" customFormat="false" ht="15" hidden="false" customHeight="false" outlineLevel="0" collapsed="false">
      <c r="A345" s="55" t="s">
        <v>1597</v>
      </c>
      <c r="B345" s="55" t="s">
        <v>1598</v>
      </c>
      <c r="C345" s="55" t="s">
        <v>1599</v>
      </c>
      <c r="D345" s="56" t="n">
        <f aca="false">Escenarios!E187</f>
        <v>-1421.26597935263</v>
      </c>
    </row>
    <row r="346" customFormat="false" ht="15" hidden="false" customHeight="false" outlineLevel="0" collapsed="false">
      <c r="A346" s="55" t="s">
        <v>1600</v>
      </c>
      <c r="B346" s="55" t="s">
        <v>1601</v>
      </c>
      <c r="C346" s="55" t="s">
        <v>1602</v>
      </c>
      <c r="D346" s="56" t="n">
        <f aca="false">Escenarios!F187</f>
        <v>-2117.4534109852</v>
      </c>
    </row>
    <row r="347" customFormat="false" ht="15" hidden="false" customHeight="false" outlineLevel="0" collapsed="false">
      <c r="A347" s="55" t="s">
        <v>1603</v>
      </c>
      <c r="B347" s="55" t="s">
        <v>349</v>
      </c>
      <c r="C347" s="55" t="s">
        <v>1604</v>
      </c>
      <c r="D347" s="56" t="n">
        <f aca="false">Sensibilidad!J21</f>
        <v>8963.34611121779</v>
      </c>
    </row>
    <row r="348" customFormat="false" ht="15" hidden="false" customHeight="false" outlineLevel="0" collapsed="false">
      <c r="A348" s="55" t="s">
        <v>1605</v>
      </c>
      <c r="B348" s="55" t="s">
        <v>1606</v>
      </c>
      <c r="C348" s="55" t="s">
        <v>1607</v>
      </c>
      <c r="D348" s="56" t="n">
        <f aca="false">Historicos!E66</f>
        <v>126.844</v>
      </c>
    </row>
    <row r="349" customFormat="false" ht="15" hidden="false" customHeight="false" outlineLevel="0" collapsed="false">
      <c r="A349" s="55" t="s">
        <v>1608</v>
      </c>
      <c r="B349" s="55" t="s">
        <v>1609</v>
      </c>
      <c r="C349" s="55" t="s">
        <v>1610</v>
      </c>
      <c r="D349" s="56" t="n">
        <f aca="false">Verificacion!D40</f>
        <v>2.46700437855907E-011</v>
      </c>
    </row>
    <row r="350" customFormat="false" ht="15" hidden="false" customHeight="false" outlineLevel="0" collapsed="false">
      <c r="A350" s="55" t="s">
        <v>1611</v>
      </c>
      <c r="B350" s="55" t="s">
        <v>689</v>
      </c>
      <c r="C350" s="55" t="s">
        <v>1612</v>
      </c>
      <c r="D350" s="56" t="str">
        <f aca="false">Control!H18</f>
        <v>OK</v>
      </c>
    </row>
    <row r="351" customFormat="false" ht="15" hidden="false" customHeight="false" outlineLevel="0" collapsed="false">
      <c r="A351" s="55" t="s">
        <v>1613</v>
      </c>
      <c r="B351" s="55" t="s">
        <v>1614</v>
      </c>
      <c r="C351" s="55" t="s">
        <v>1615</v>
      </c>
      <c r="D351" s="56" t="n">
        <f aca="false">Proyeccion!D5</f>
        <v>4194.33018</v>
      </c>
    </row>
    <row r="352" customFormat="false" ht="15" hidden="false" customHeight="false" outlineLevel="0" collapsed="false">
      <c r="A352" s="55" t="s">
        <v>1616</v>
      </c>
      <c r="B352" s="55" t="s">
        <v>1617</v>
      </c>
      <c r="C352" s="55" t="s">
        <v>1618</v>
      </c>
      <c r="D352" s="56" t="n">
        <f aca="false">Proyeccion!D14</f>
        <v>705.229319748866</v>
      </c>
    </row>
    <row r="353" customFormat="false" ht="15" hidden="false" customHeight="false" outlineLevel="0" collapsed="false">
      <c r="A353" s="55" t="s">
        <v>1619</v>
      </c>
      <c r="B353" s="55" t="s">
        <v>1620</v>
      </c>
      <c r="C353" s="55" t="s">
        <v>1621</v>
      </c>
      <c r="D353" s="56" t="n">
        <f aca="false">Proyeccion!D26</f>
        <v>25.8782652185592</v>
      </c>
    </row>
    <row r="354" customFormat="false" ht="15" hidden="false" customHeight="false" outlineLevel="0" collapsed="false">
      <c r="A354" s="55" t="s">
        <v>1622</v>
      </c>
      <c r="B354" s="55" t="s">
        <v>1623</v>
      </c>
      <c r="C354" s="55" t="s">
        <v>1624</v>
      </c>
      <c r="D354" s="56" t="n">
        <f aca="false">Deuda!P12</f>
        <v>2134.90895884631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2026-10-24T22:36:23Z</dcterms:created>
  <dc:creator>openpyxl</dc:creator>
  <dc:description/>
  <dc:language>en-US</dc:language>
  <cp:lastModifiedBy/>
  <dcterms:modified xsi:type="dcterms:W3CDTF">2026-10-24T22:36:31Z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