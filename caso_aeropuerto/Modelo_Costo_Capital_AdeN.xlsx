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atos" sheetId="2" state="visible" r:id="rId4"/>
    <sheet name="Alternativas" sheetId="3" state="visible" r:id="rId5"/>
    <sheet name="Sensibilida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5" authorId="0">
      <text>
        <r>
          <rPr>
            <sz val="10"/>
            <rFont val="Arial"/>
            <family val="2"/>
          </rPr>
          <t xml:space="preserve">p. 7: 'cierto consenso en utilizar un 2%'. Se calcula como (βGB − βUSA) × ERP para llevar betas de EE.UU. (rate of return) a price cap.</t>
        </r>
      </text>
    </comment>
    <comment ref="B36" authorId="0">
      <text>
        <r>
          <rPr>
            <sz val="10"/>
            <rFont val="Arial"/>
            <family val="2"/>
          </rPr>
          <t xml:space="preserve">p. 8: a la DAA se le subió la beta 20% cuando S&amp;P la bajó de A+ a A. AA2000 tiene Baa1/BBB+.</t>
        </r>
      </text>
    </comment>
    <comment ref="B37" authorId="0">
      <text>
        <r>
          <rPr>
            <sz val="10"/>
            <rFont val="Arial"/>
            <family val="2"/>
          </rPr>
          <t xml:space="preserve">Supuesto del modelo: el caso no da un factor. Se replica el 20% de la DAA para representar la posición máxima de la empresa.</t>
        </r>
      </text>
    </comment>
    <comment ref="B51" authorId="0">
      <text>
        <r>
          <rPr>
            <sz val="10"/>
            <rFont val="Arial"/>
            <family val="2"/>
          </rPr>
          <t xml:space="preserve">Anexo 5, 2004. Se usa como aproximación de la RAB.</t>
        </r>
      </text>
    </comment>
    <comment ref="B52" authorId="0">
      <text>
        <r>
          <rPr>
            <sz val="10"/>
            <rFont val="Arial"/>
            <family val="2"/>
          </rPr>
          <t xml:space="preserve">Anexo 1, 2004</t>
        </r>
      </text>
    </comment>
    <comment ref="B53" authorId="0">
      <text>
        <r>
          <rPr>
            <sz val="10"/>
            <rFont val="Arial"/>
            <family val="2"/>
          </rPr>
          <t xml:space="preserve">Anexo 5</t>
        </r>
      </text>
    </comment>
    <comment ref="B54" authorId="0">
      <text>
        <r>
          <rPr>
            <sz val="10"/>
            <rFont val="Arial"/>
            <family val="2"/>
          </rPr>
          <t xml:space="preserve">Anexo 1</t>
        </r>
      </text>
    </comment>
    <comment ref="B55" authorId="0">
      <text>
        <r>
          <rPr>
            <sz val="10"/>
            <rFont val="Arial"/>
            <family val="2"/>
          </rPr>
          <t xml:space="preserve">Anexo 1</t>
        </r>
      </text>
    </comment>
    <comment ref="B60" authorId="0">
      <text>
        <r>
          <rPr>
            <sz val="10"/>
            <rFont val="Arial"/>
            <family val="2"/>
          </rPr>
          <t xml:space="preserve">p. 4: las partes acordaron tratar los pasivos como espontáneos, así que no hay deuda financiera. Por eso WACC = Ke.</t>
        </r>
      </text>
    </comment>
    <comment ref="B62" authorId="0">
      <text>
        <r>
          <rPr>
            <sz val="10"/>
            <rFont val="Arial"/>
            <family val="2"/>
          </rPr>
          <t xml:space="preserve">Supuesto: tasa general de Argentina en 2004 (35%). El caso no la informa. No afecta el WACC porque D = 0.</t>
        </r>
      </text>
    </comment>
    <comment ref="B63" authorId="0">
      <text>
        <r>
          <rPr>
            <sz val="10"/>
            <rFont val="Arial"/>
            <family val="2"/>
          </rPr>
          <t xml:space="preserve">Anexo 1, nota (**): estable cerca de $3 por dólar desde 2002.</t>
        </r>
      </text>
    </comment>
  </commentList>
</comments>
</file>

<file path=xl/sharedStrings.xml><?xml version="1.0" encoding="utf-8"?>
<sst xmlns="http://schemas.openxmlformats.org/spreadsheetml/2006/main" count="160" uniqueCount="150">
  <si>
    <t xml:space="preserve">Resumen para la Junta Directiva – Tasa de descuento de AdeN</t>
  </si>
  <si>
    <t xml:space="preserve">Todos los valores se calculan en las hojas 'Alternativas' y 'Datos'.</t>
  </si>
  <si>
    <t xml:space="preserve">Indicador</t>
  </si>
  <si>
    <t xml:space="preserve">A. Postura del regulador</t>
  </si>
  <si>
    <t xml:space="preserve">B. Máximo de la empresa</t>
  </si>
  <si>
    <t xml:space="preserve">C. Propuesta recomendada</t>
  </si>
  <si>
    <t xml:space="preserve">WACC = Ke (US$ nominal)</t>
  </si>
  <si>
    <t xml:space="preserve">Beta ajustada</t>
  </si>
  <si>
    <t xml:space="preserve">Riesgo país (pb)</t>
  </si>
  <si>
    <t xml:space="preserve">Costo anual del capital (miles $)</t>
  </si>
  <si>
    <t xml:space="preserve">Costo del capital por pasajero ($)</t>
  </si>
  <si>
    <t xml:space="preserve">Costo del capital / ingresos 2004</t>
  </si>
  <si>
    <t xml:space="preserve">Recomendación</t>
  </si>
  <si>
    <t xml:space="preserve">Proponer al regulador un WACC de alrededor de 15,7% en dólares nominales (alternativa C). Mínimo aceptable 12,1% (C con ERP 4,8% y riesgo país igual al EMBI+ global de 354 pb, ver 'Sensibilidad'). Abrir la negociación sumando la prima regulatoria del 2% (≈17,7%). Exigir que los flujos se expresen en dólares, o que se sume a la tasa el diferencial de inflación.</t>
  </si>
  <si>
    <t xml:space="preserve">Datos del caso – Aeropuertos del Neuquén S.A. (A)</t>
  </si>
  <si>
    <t xml:space="preserve">Insumos tomados del caso IAE FZ-C-204-IA-1-s. Azul = dato ingresado; negro = fórmula.</t>
  </si>
  <si>
    <t xml:space="preserve">1. Tasa libre de riesgo – Bonos del Tesoro de EE.UU. (Anexo 2)</t>
  </si>
  <si>
    <t xml:space="preserve">Bono 5 años – spot 23/12/2004</t>
  </si>
  <si>
    <t xml:space="preserve">Bono 10 años – spot 23/12/2004</t>
  </si>
  <si>
    <t xml:space="preserve">Bono 30 años – spot 23/12/2004</t>
  </si>
  <si>
    <t xml:space="preserve">Fuente: Anexo 2 y p. 5 del caso</t>
  </si>
  <si>
    <t xml:space="preserve">Bono 10 años – promedio ene-2000 a dic-2004</t>
  </si>
  <si>
    <t xml:space="preserve">2. Prima de riesgo de mercado EE.UU. hasta 2003 (Anexo 2)</t>
  </si>
  <si>
    <t xml:space="preserve">Período</t>
  </si>
  <si>
    <t xml:space="preserve">Años</t>
  </si>
  <si>
    <t xml:space="preserve">Ibbotson (arit.)</t>
  </si>
  <si>
    <t xml:space="preserve">Damodaran (arit.)</t>
  </si>
  <si>
    <t xml:space="preserve">Damodaran (geom.)</t>
  </si>
  <si>
    <t xml:space="preserve">1926/28 – 2003</t>
  </si>
  <si>
    <t xml:space="preserve">1933 – 2003</t>
  </si>
  <si>
    <t xml:space="preserve">1945 – 2003</t>
  </si>
  <si>
    <t xml:space="preserve">1955 – 2003</t>
  </si>
  <si>
    <t xml:space="preserve">1965 – 2003</t>
  </si>
  <si>
    <t xml:space="preserve">1975 – 2003</t>
  </si>
  <si>
    <t xml:space="preserve">1990 – 2003</t>
  </si>
  <si>
    <t xml:space="preserve">Promedio de todas las estimaciones</t>
  </si>
  <si>
    <t xml:space="preserve">Mínimo</t>
  </si>
  <si>
    <t xml:space="preserve">Máximo</t>
  </si>
  <si>
    <t xml:space="preserve">Punto medio</t>
  </si>
  <si>
    <t xml:space="preserve">ERP en decisiones regulatorias: EE.UU., Australia, Irlanda</t>
  </si>
  <si>
    <t xml:space="preserve">Fuente: p. 5 del caso</t>
  </si>
  <si>
    <t xml:space="preserve">ERP en decisiones regulatorias: Reino Unido</t>
  </si>
  <si>
    <t xml:space="preserve">3. Betas de activos de operadores de aeropuertos (Anexo 3)</t>
  </si>
  <si>
    <t xml:space="preserve">Empresa</t>
  </si>
  <si>
    <t xml:space="preserve">Beta activos</t>
  </si>
  <si>
    <t xml:space="preserve">Regulación</t>
  </si>
  <si>
    <t xml:space="preserve">Sydney Airport – SACL (2000)</t>
  </si>
  <si>
    <t xml:space="preserve">Price cap</t>
  </si>
  <si>
    <t xml:space="preserve">Los cuatro comparables operan bajo price cap, como AdeN.</t>
  </si>
  <si>
    <t xml:space="preserve">Auckland Intl. Airport – AIAL (2001)</t>
  </si>
  <si>
    <t xml:space="preserve">Melbourne Airport – MUDT (2000)</t>
  </si>
  <si>
    <t xml:space="preserve">Dublin Airport Authority – DAA (2005)</t>
  </si>
  <si>
    <t xml:space="preserve">Promedio comparables</t>
  </si>
  <si>
    <t xml:space="preserve">Mediana comparables</t>
  </si>
  <si>
    <t xml:space="preserve">4. Ajustes de riesgo (pp. 6–9 del caso)</t>
  </si>
  <si>
    <t xml:space="preserve">Prima por riesgo regulatorio (consenso de mercado)</t>
  </si>
  <si>
    <t xml:space="preserve">Ajuste a la beta por menor calificación (precedente DAA)</t>
  </si>
  <si>
    <t xml:space="preserve">Ajuste a la beta por tamaño (supuesto, igual al de la DAA)</t>
  </si>
  <si>
    <t xml:space="preserve">5. Riesgo país – EMBI+ en puntos básicos (Anexo 3)</t>
  </si>
  <si>
    <t xml:space="preserve">Medida</t>
  </si>
  <si>
    <t xml:space="preserve">Argentina</t>
  </si>
  <si>
    <t xml:space="preserve">EMBI+ global</t>
  </si>
  <si>
    <t xml:space="preserve">Spot 23/12/2004</t>
  </si>
  <si>
    <t xml:space="preserve">Promedio diciembre 2004</t>
  </si>
  <si>
    <t xml:space="preserve">Promedio año 2004</t>
  </si>
  <si>
    <t xml:space="preserve">Promedio 1996 – 2004</t>
  </si>
  <si>
    <t xml:space="preserve">Promedio año 2003</t>
  </si>
  <si>
    <t xml:space="preserve">Promedio 1996 – 2000 (pre-crisis)</t>
  </si>
  <si>
    <t xml:space="preserve">Promedio latinoamericano usado por la CREG de Colombia (2003)</t>
  </si>
  <si>
    <t xml:space="preserve">EPRE San Juan (2003): no incluyó riesgo país</t>
  </si>
  <si>
    <t xml:space="preserve">6. AdeN – datos operativos y contables 2004 (Anexos 1 y 5)</t>
  </si>
  <si>
    <t xml:space="preserve">Base de activos regulados – Total inversión permanente (miles $)</t>
  </si>
  <si>
    <t xml:space="preserve">Bienes de uso (miles $)</t>
  </si>
  <si>
    <t xml:space="preserve">Pasajeros 2004 (miles)</t>
  </si>
  <si>
    <t xml:space="preserve">Ingresos totales 2004 (miles $)</t>
  </si>
  <si>
    <t xml:space="preserve">Ingresos aeronáuticos 2004 (miles $)</t>
  </si>
  <si>
    <t xml:space="preserve">Ingreso total por pasajero ($)</t>
  </si>
  <si>
    <t xml:space="preserve">Ingreso aeronáutico por pasajero ($)</t>
  </si>
  <si>
    <t xml:space="preserve">7. Estructura de capital e impuestos</t>
  </si>
  <si>
    <t xml:space="preserve">Deuda financiera / (D + E)</t>
  </si>
  <si>
    <t xml:space="preserve">Costo de la deuda Kd (no aplica)</t>
  </si>
  <si>
    <t xml:space="preserve">Tasa de impuesto a las ganancias T</t>
  </si>
  <si>
    <t xml:space="preserve">Tipo de cambio de referencia ($ por US$)</t>
  </si>
  <si>
    <t xml:space="preserve">Costo de capital de AdeN – tres alternativas de negociación</t>
  </si>
  <si>
    <t xml:space="preserve">Ke = rf + β·ERP + prima regulatoria + riesgo país. En dólares nominales. Verde = vínculo a 'Datos'; celdas amarillas = palancas de cada alternativa.</t>
  </si>
  <si>
    <t xml:space="preserve">Componente</t>
  </si>
  <si>
    <t xml:space="preserve">Tasa libre de riesgo rf</t>
  </si>
  <si>
    <t xml:space="preserve">Prima de riesgo de mercado ERP</t>
  </si>
  <si>
    <t xml:space="preserve">Beta de activos (promedio comparables)</t>
  </si>
  <si>
    <t xml:space="preserve">Ajuste por calificación crediticia</t>
  </si>
  <si>
    <t xml:space="preserve">Ajuste por tamaño (un solo aeropuerto regional)</t>
  </si>
  <si>
    <t xml:space="preserve">Beta apalancada ajustada (D = 0 ⇒ βE = βA)</t>
  </si>
  <si>
    <t xml:space="preserve">Prima por riesgo regulatorio</t>
  </si>
  <si>
    <t xml:space="preserve">Riesgo país (puntos básicos)</t>
  </si>
  <si>
    <t xml:space="preserve">Riesgo país (%)</t>
  </si>
  <si>
    <t xml:space="preserve">Costo del capital propio Ke</t>
  </si>
  <si>
    <t xml:space="preserve">Peso de la deuda D/(D+E)</t>
  </si>
  <si>
    <t xml:space="preserve">Kd × (1 − T)</t>
  </si>
  <si>
    <t xml:space="preserve">WACC (tasa de descuento)</t>
  </si>
  <si>
    <t xml:space="preserve">Impacto sobre la tarifa (costo anual del capital = WACC × RAB)</t>
  </si>
  <si>
    <t xml:space="preserve">Base de activos regulados – RAB (miles $)</t>
  </si>
  <si>
    <t xml:space="preserve">Ingreso total por pasajero 2004 ($)</t>
  </si>
  <si>
    <t xml:space="preserve">Costo del capital / ingresos totales 2004</t>
  </si>
  <si>
    <t xml:space="preserve">Diferencia de WACC frente a la propuesta C (pp)</t>
  </si>
  <si>
    <t xml:space="preserve">Valor presente de $100 anuales a perpetuidad ($)</t>
  </si>
  <si>
    <t xml:space="preserve">Criterio de cada alternativa</t>
  </si>
  <si>
    <t xml:space="preserve">rf</t>
  </si>
  <si>
    <t xml:space="preserve">Bono a 10 años del día (4,22%), el valor más bajo y actual.</t>
  </si>
  <si>
    <t xml:space="preserve">Bono a 30 años (4,84%): coincide con un plazo de concesión largo.</t>
  </si>
  <si>
    <t xml:space="preserve">Promedio del bono a 10 años 2000–2004 (4,77%): suaviza un mínimo coyuntural.</t>
  </si>
  <si>
    <t xml:space="preserve">ERP</t>
  </si>
  <si>
    <t xml:space="preserve">Damodaran, media geométrica 1928–2003 (4,8%).</t>
  </si>
  <si>
    <t xml:space="preserve">Ibbotson, media aritmética 1926–2003 (7,2%).</t>
  </si>
  <si>
    <t xml:space="preserve">Punto medio de lo aceptado por reguladores con price cap en EE.UU., Australia e Irlanda (6,0%).</t>
  </si>
  <si>
    <t xml:space="preserve">β</t>
  </si>
  <si>
    <t xml:space="preserve">Promedio de comparables, sin ajustes.</t>
  </si>
  <si>
    <t xml:space="preserve">+20% por calificación y +20% por tamaño.</t>
  </si>
  <si>
    <t xml:space="preserve">+20% por calificación (precedente DAA: A+→A; AA2000 es BBB+).</t>
  </si>
  <si>
    <t xml:space="preserve">Prima regulatoria</t>
  </si>
  <si>
    <t xml:space="preserve">No aplica: los comparables ya están regulados por price cap.</t>
  </si>
  <si>
    <t xml:space="preserve">Agrega el 2% de 'consenso'.</t>
  </si>
  <si>
    <t xml:space="preserve">No se suma: los 4 comparables ya son price cap; sumarla es contar el riesgo dos veces.</t>
  </si>
  <si>
    <t xml:space="preserve">Riesgo país</t>
  </si>
  <si>
    <t xml:space="preserve">Cero (precedente EPRE San Juan; estudio McKinsey).</t>
  </si>
  <si>
    <t xml:space="preserve">Promedio Argentina 1996–2004 (2.857 pb). Con el spot (4.668 pb) sería aún mayor.</t>
  </si>
  <si>
    <t xml:space="preserve">Riesgo normalizado: 619 pb (CREG Colombia). Es casi igual al de Argentina antes de la crisis (659 pb).</t>
  </si>
  <si>
    <t xml:space="preserve">Evaluación</t>
  </si>
  <si>
    <t xml:space="preserve">¿La acepta la contraparte?</t>
  </si>
  <si>
    <t xml:space="preserve">Sí (es su propuesta)</t>
  </si>
  <si>
    <t xml:space="preserve">No: duplica la tarifa</t>
  </si>
  <si>
    <t xml:space="preserve">Probable: cada supuesto tiene precedente</t>
  </si>
  <si>
    <t xml:space="preserve">¿Atrae capital?</t>
  </si>
  <si>
    <t xml:space="preserve">No: menos que un bono argentino</t>
  </si>
  <si>
    <t xml:space="preserve">Sí, en exceso</t>
  </si>
  <si>
    <t xml:space="preserve">Sí: cubre el riesgo argentino</t>
  </si>
  <si>
    <t xml:space="preserve">¿Sostiene el negocio?</t>
  </si>
  <si>
    <t xml:space="preserve">No: consolida las pérdidas</t>
  </si>
  <si>
    <t xml:space="preserve">No: rompe la negociación</t>
  </si>
  <si>
    <t xml:space="preserve">Sí</t>
  </si>
  <si>
    <t xml:space="preserve">Sensibilidad del Ke de la propuesta C</t>
  </si>
  <si>
    <t xml:space="preserve">Mantiene rf, β ajustada y prima regulatoria de la alternativa C (hoja 'Alternativas') y varía ERP, riesgo país y β.</t>
  </si>
  <si>
    <t xml:space="preserve">Tabla 1. Ke según ERP (filas) y riesgo país en pb (columnas)</t>
  </si>
  <si>
    <t xml:space="preserve">ERP \ Riesgo país</t>
  </si>
  <si>
    <t xml:space="preserve">Fila resaltada: ERP de la propuesta (6,0%). Columna resaltada: riesgo país normalizado (619 pb).</t>
  </si>
  <si>
    <t xml:space="preserve">Tabla 2. Ke según β ajustada (filas) y ERP (columnas), con riesgo país de 619 pb</t>
  </si>
  <si>
    <t xml:space="preserve">β \ ERP</t>
  </si>
  <si>
    <t xml:space="preserve">Tabla 3. Costo del capital por pasajero ($) según riesgo país (ERP y β de la propuesta)</t>
  </si>
  <si>
    <t xml:space="preserve">WACC</t>
  </si>
  <si>
    <t xml:space="preserve">$ por pasajero</t>
  </si>
  <si>
    <t xml:space="preserve">% del ingreso total 2004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</si>
</sst>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%;\(0.00%\);\-"/>
    <numFmt numFmtId="166" formatCode="0.000"/>
    <numFmt numFmtId="167" formatCode="#,##0;\(#,##0\);\-"/>
    <numFmt numFmtId="168" formatCode="0.00"/>
    <numFmt numFmtId="169" formatCode="0.0%;\(0.0%\);\-"/>
    <numFmt numFmtId="170" formatCode="0"/>
    <numFmt numFmtId="171" formatCode="#,##0.0;\(#,##0.0\);\-"/>
    <numFmt numFmtId="172" formatCode="0.0;\(0.0\);\-"/>
    <numFmt numFmtId="173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WACC por alternativa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Alternativas!$B$4:$D$4</c:f>
              <c:strCache>
                <c:ptCount val="3"/>
                <c:pt idx="0">
                  <c:v>A. Postura del regulador</c:v>
                </c:pt>
                <c:pt idx="1">
                  <c:v>B. Máximo de la empresa</c:v>
                </c:pt>
                <c:pt idx="2">
                  <c:v>C. Propuesta recomendada</c:v>
                </c:pt>
              </c:strCache>
            </c:strRef>
          </c:cat>
          <c:val>
            <c:numRef>
              <c:f>Alternativas!$B$18:$D$18</c:f>
              <c:numCache>
                <c:formatCode>0.00%;\(0.00%\);\-</c:formatCode>
                <c:ptCount val="3"/>
                <c:pt idx="0">
                  <c:v>0.07352</c:v>
                </c:pt>
                <c:pt idx="1">
                  <c:v>0.4217512</c:v>
                </c:pt>
                <c:pt idx="2">
                  <c:v>0.15658</c:v>
                </c:pt>
              </c:numCache>
            </c:numRef>
          </c:val>
        </c:ser>
        <c:gapWidth val="150"/>
        <c:overlap val="0"/>
        <c:axId val="74180361"/>
        <c:axId val="58624914"/>
      </c:barChart>
      <c:catAx>
        <c:axId val="741803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24914"/>
        <c:crosses val="autoZero"/>
        <c:auto val="1"/>
        <c:lblAlgn val="ctr"/>
        <c:lblOffset val="100"/>
        <c:noMultiLvlLbl val="0"/>
      </c:catAx>
      <c:valAx>
        <c:axId val="586249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WACC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803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13</xdr:col>
      <xdr:colOff>507600</xdr:colOff>
      <xdr:row>16</xdr:row>
      <xdr:rowOff>32760</xdr:rowOff>
    </xdr:to>
    <xdr:graphicFrame>
      <xdr:nvGraphicFramePr>
        <xdr:cNvPr id="0" name="Chart 1"/>
        <xdr:cNvGraphicFramePr/>
      </xdr:nvGraphicFramePr>
      <xdr:xfrm>
        <a:off x="8035200" y="6858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  <col collapsed="false" customWidth="true" hidden="false" outlineLevel="0" max="5" min="5" style="0" width="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  <c r="C4" s="4" t="s">
        <v>4</v>
      </c>
      <c r="D4" s="5" t="s">
        <v>5</v>
      </c>
    </row>
    <row r="5" customFormat="false" ht="15" hidden="false" customHeight="false" outlineLevel="0" collapsed="false">
      <c r="A5" s="6" t="s">
        <v>6</v>
      </c>
      <c r="B5" s="7" t="n">
        <f aca="false">Alternativas!B18</f>
        <v>0.07352</v>
      </c>
      <c r="C5" s="7" t="n">
        <f aca="false">Alternativas!C18</f>
        <v>0.4217512</v>
      </c>
      <c r="D5" s="8" t="n">
        <f aca="false">Alternativas!D18</f>
        <v>0.15658</v>
      </c>
    </row>
    <row r="6" customFormat="false" ht="15" hidden="false" customHeight="false" outlineLevel="0" collapsed="false">
      <c r="A6" s="6" t="s">
        <v>7</v>
      </c>
      <c r="B6" s="9" t="n">
        <f aca="false">Alternativas!B10</f>
        <v>0.6525</v>
      </c>
      <c r="C6" s="9" t="n">
        <f aca="false">Alternativas!C10</f>
        <v>0.9396</v>
      </c>
      <c r="D6" s="10" t="n">
        <f aca="false">Alternativas!D10</f>
        <v>0.783</v>
      </c>
    </row>
    <row r="7" customFormat="false" ht="15" hidden="false" customHeight="false" outlineLevel="0" collapsed="false">
      <c r="A7" s="6" t="s">
        <v>8</v>
      </c>
      <c r="B7" s="11" t="n">
        <f aca="false">Alternativas!B12</f>
        <v>0</v>
      </c>
      <c r="C7" s="11" t="n">
        <f aca="false">Alternativas!C12</f>
        <v>2857</v>
      </c>
      <c r="D7" s="12" t="n">
        <f aca="false">Alternativas!D12</f>
        <v>619</v>
      </c>
    </row>
    <row r="8" customFormat="false" ht="15" hidden="false" customHeight="false" outlineLevel="0" collapsed="false">
      <c r="A8" s="6" t="s">
        <v>9</v>
      </c>
      <c r="B8" s="11" t="n">
        <f aca="false">Alternativas!B22</f>
        <v>421.19608</v>
      </c>
      <c r="C8" s="11" t="n">
        <f aca="false">Alternativas!C22</f>
        <v>2416.2126248</v>
      </c>
      <c r="D8" s="12" t="n">
        <f aca="false">Alternativas!D22</f>
        <v>897.04682</v>
      </c>
    </row>
    <row r="9" customFormat="false" ht="15" hidden="false" customHeight="false" outlineLevel="0" collapsed="false">
      <c r="A9" s="6" t="s">
        <v>10</v>
      </c>
      <c r="B9" s="13" t="n">
        <f aca="false">Alternativas!B24</f>
        <v>1.31549778249735</v>
      </c>
      <c r="C9" s="13" t="n">
        <f aca="false">Alternativas!C24</f>
        <v>7.54641959147979</v>
      </c>
      <c r="D9" s="14" t="n">
        <f aca="false">Alternativas!D24</f>
        <v>2.80169535886064</v>
      </c>
    </row>
    <row r="10" customFormat="false" ht="15" hidden="false" customHeight="false" outlineLevel="0" collapsed="false">
      <c r="A10" s="6" t="s">
        <v>11</v>
      </c>
      <c r="B10" s="15" t="n">
        <f aca="false">Alternativas!B26</f>
        <v>0.211168194124135</v>
      </c>
      <c r="C10" s="15" t="n">
        <f aca="false">Alternativas!C26</f>
        <v>1.21137703038203</v>
      </c>
      <c r="D10" s="16" t="n">
        <f aca="false">Alternativas!D26</f>
        <v>0.449737701794846</v>
      </c>
    </row>
    <row r="12" customFormat="false" ht="15" hidden="false" customHeight="false" outlineLevel="0" collapsed="false">
      <c r="A12" s="3" t="s">
        <v>12</v>
      </c>
    </row>
    <row r="13" customFormat="false" ht="19.5" hidden="false" customHeight="true" outlineLevel="0" collapsed="false">
      <c r="A13" s="17" t="s">
        <v>13</v>
      </c>
      <c r="B13" s="17"/>
      <c r="C13" s="17"/>
      <c r="D13" s="17"/>
    </row>
    <row r="14" customFormat="false" ht="15" hidden="false" customHeight="false" outlineLevel="0" collapsed="false">
      <c r="A14" s="17"/>
      <c r="B14" s="17"/>
      <c r="C14" s="17"/>
      <c r="D14" s="17"/>
    </row>
    <row r="15" customFormat="false" ht="15" hidden="false" customHeight="false" outlineLevel="0" collapsed="false">
      <c r="A15" s="17"/>
      <c r="B15" s="17"/>
      <c r="C15" s="17"/>
      <c r="D15" s="17"/>
    </row>
  </sheetData>
  <mergeCells count="2">
    <mergeCell ref="A1:E1"/>
    <mergeCell ref="A13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4"/>
    <col collapsed="false" customWidth="true" hidden="false" outlineLevel="0" max="6" min="6" style="0" width="40"/>
  </cols>
  <sheetData>
    <row r="1" customFormat="false" ht="24" hidden="false" customHeight="true" outlineLevel="0" collapsed="false">
      <c r="A1" s="1" t="s">
        <v>14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15</v>
      </c>
    </row>
    <row r="4" customFormat="false" ht="15" hidden="false" customHeight="false" outlineLevel="0" collapsed="false">
      <c r="A4" s="18" t="s">
        <v>16</v>
      </c>
      <c r="B4" s="18"/>
      <c r="C4" s="18"/>
      <c r="D4" s="18"/>
      <c r="E4" s="18"/>
      <c r="F4" s="18"/>
    </row>
    <row r="5" customFormat="false" ht="15" hidden="false" customHeight="false" outlineLevel="0" collapsed="false">
      <c r="A5" s="6" t="s">
        <v>17</v>
      </c>
      <c r="B5" s="19" t="n">
        <v>0.0358</v>
      </c>
    </row>
    <row r="6" customFormat="false" ht="15" hidden="false" customHeight="false" outlineLevel="0" collapsed="false">
      <c r="A6" s="6" t="s">
        <v>18</v>
      </c>
      <c r="B6" s="19" t="n">
        <v>0.0422</v>
      </c>
    </row>
    <row r="7" customFormat="false" ht="15" hidden="false" customHeight="false" outlineLevel="0" collapsed="false">
      <c r="A7" s="6" t="s">
        <v>19</v>
      </c>
      <c r="B7" s="19" t="n">
        <v>0.0484</v>
      </c>
      <c r="F7" s="20" t="s">
        <v>20</v>
      </c>
    </row>
    <row r="8" customFormat="false" ht="15" hidden="false" customHeight="false" outlineLevel="0" collapsed="false">
      <c r="A8" s="6" t="s">
        <v>21</v>
      </c>
      <c r="B8" s="19" t="n">
        <v>0.0477</v>
      </c>
    </row>
    <row r="10" customFormat="false" ht="15" hidden="false" customHeight="false" outlineLevel="0" collapsed="false">
      <c r="A10" s="18" t="s">
        <v>22</v>
      </c>
      <c r="B10" s="18"/>
      <c r="C10" s="18"/>
      <c r="D10" s="18"/>
      <c r="E10" s="18"/>
      <c r="F10" s="18"/>
    </row>
    <row r="11" customFormat="false" ht="15" hidden="false" customHeight="false" outlineLevel="0" collapsed="false">
      <c r="A11" s="3" t="s">
        <v>23</v>
      </c>
      <c r="B11" s="3" t="s">
        <v>24</v>
      </c>
      <c r="C11" s="3" t="s">
        <v>25</v>
      </c>
      <c r="D11" s="3" t="s">
        <v>26</v>
      </c>
      <c r="E11" s="3" t="s">
        <v>27</v>
      </c>
    </row>
    <row r="12" customFormat="false" ht="15" hidden="false" customHeight="false" outlineLevel="0" collapsed="false">
      <c r="A12" s="6" t="s">
        <v>28</v>
      </c>
      <c r="B12" s="21" t="n">
        <v>77</v>
      </c>
      <c r="C12" s="22" t="n">
        <v>0.072</v>
      </c>
      <c r="D12" s="22" t="n">
        <v>0.065</v>
      </c>
      <c r="E12" s="22" t="n">
        <v>0.048</v>
      </c>
    </row>
    <row r="13" customFormat="false" ht="15" hidden="false" customHeight="false" outlineLevel="0" collapsed="false">
      <c r="A13" s="6" t="s">
        <v>29</v>
      </c>
      <c r="B13" s="21" t="n">
        <v>70</v>
      </c>
      <c r="C13" s="22" t="n">
        <v>0.081</v>
      </c>
      <c r="D13" s="22" t="n">
        <v>0.078</v>
      </c>
      <c r="E13" s="22" t="n">
        <v>0.059</v>
      </c>
    </row>
    <row r="14" customFormat="false" ht="15" hidden="false" customHeight="false" outlineLevel="0" collapsed="false">
      <c r="A14" s="6" t="s">
        <v>30</v>
      </c>
      <c r="B14" s="21" t="n">
        <v>58</v>
      </c>
      <c r="C14" s="22" t="n">
        <v>0.074</v>
      </c>
      <c r="D14" s="22" t="n">
        <v>0.074</v>
      </c>
      <c r="E14" s="22" t="n">
        <v>0.058</v>
      </c>
    </row>
    <row r="15" customFormat="false" ht="15" hidden="false" customHeight="false" outlineLevel="0" collapsed="false">
      <c r="A15" s="6" t="s">
        <v>31</v>
      </c>
      <c r="B15" s="21" t="n">
        <v>48</v>
      </c>
      <c r="C15" s="22" t="n">
        <v>0.056</v>
      </c>
      <c r="D15" s="22" t="n">
        <v>0.057</v>
      </c>
      <c r="E15" s="22" t="n">
        <v>0.041</v>
      </c>
    </row>
    <row r="16" customFormat="false" ht="15" hidden="false" customHeight="false" outlineLevel="0" collapsed="false">
      <c r="A16" s="6" t="s">
        <v>32</v>
      </c>
      <c r="B16" s="21" t="n">
        <v>38</v>
      </c>
      <c r="C16" s="22" t="n">
        <v>0.043</v>
      </c>
      <c r="D16" s="22" t="n">
        <v>0.041</v>
      </c>
      <c r="E16" s="22" t="n">
        <v>0.029</v>
      </c>
    </row>
    <row r="17" customFormat="false" ht="15" hidden="false" customHeight="false" outlineLevel="0" collapsed="false">
      <c r="A17" s="6" t="s">
        <v>33</v>
      </c>
      <c r="B17" s="21" t="n">
        <v>28</v>
      </c>
      <c r="C17" s="22" t="n">
        <v>0.07</v>
      </c>
      <c r="D17" s="22" t="n">
        <v>0.058</v>
      </c>
      <c r="E17" s="22" t="n">
        <v>0.04</v>
      </c>
    </row>
    <row r="18" customFormat="false" ht="15" hidden="false" customHeight="false" outlineLevel="0" collapsed="false">
      <c r="A18" s="6" t="s">
        <v>34</v>
      </c>
      <c r="B18" s="21" t="n">
        <v>13</v>
      </c>
      <c r="C18" s="22" t="n">
        <v>0.06</v>
      </c>
      <c r="D18" s="22" t="n">
        <v>0.041</v>
      </c>
      <c r="E18" s="22" t="n">
        <v>0.036</v>
      </c>
    </row>
    <row r="19" customFormat="false" ht="15" hidden="false" customHeight="false" outlineLevel="0" collapsed="false">
      <c r="A19" s="23" t="s">
        <v>35</v>
      </c>
      <c r="C19" s="24" t="n">
        <f aca="false">AVERAGE(C12:C18)</f>
        <v>0.0651428571428571</v>
      </c>
      <c r="D19" s="24" t="n">
        <f aca="false">AVERAGE(D12:D18)</f>
        <v>0.0591428571428572</v>
      </c>
      <c r="E19" s="24" t="n">
        <f aca="false">AVERAGE(E12:E18)</f>
        <v>0.0444285714285714</v>
      </c>
    </row>
    <row r="21" customFormat="false" ht="15" hidden="false" customHeight="false" outlineLevel="0" collapsed="false">
      <c r="B21" s="3" t="s">
        <v>36</v>
      </c>
      <c r="C21" s="3" t="s">
        <v>37</v>
      </c>
      <c r="D21" s="3" t="s">
        <v>38</v>
      </c>
    </row>
    <row r="22" customFormat="false" ht="15" hidden="false" customHeight="false" outlineLevel="0" collapsed="false">
      <c r="A22" s="6" t="s">
        <v>39</v>
      </c>
      <c r="B22" s="22" t="n">
        <v>0.05</v>
      </c>
      <c r="C22" s="22" t="n">
        <v>0.07</v>
      </c>
      <c r="D22" s="24" t="n">
        <f aca="false">AVERAGE(B22:C22)</f>
        <v>0.06</v>
      </c>
      <c r="F22" s="20" t="s">
        <v>40</v>
      </c>
    </row>
    <row r="23" customFormat="false" ht="15" hidden="false" customHeight="false" outlineLevel="0" collapsed="false">
      <c r="A23" s="6" t="s">
        <v>41</v>
      </c>
      <c r="B23" s="22" t="n">
        <v>0.025</v>
      </c>
      <c r="C23" s="22" t="n">
        <v>0.05</v>
      </c>
      <c r="D23" s="24" t="n">
        <f aca="false">AVERAGE(B23:C23)</f>
        <v>0.0375</v>
      </c>
    </row>
    <row r="25" customFormat="false" ht="15" hidden="false" customHeight="false" outlineLevel="0" collapsed="false">
      <c r="A25" s="18" t="s">
        <v>42</v>
      </c>
      <c r="B25" s="18"/>
      <c r="C25" s="18"/>
      <c r="D25" s="18"/>
      <c r="E25" s="18"/>
      <c r="F25" s="18"/>
    </row>
    <row r="26" customFormat="false" ht="15" hidden="false" customHeight="false" outlineLevel="0" collapsed="false">
      <c r="A26" s="3" t="s">
        <v>43</v>
      </c>
      <c r="B26" s="3" t="s">
        <v>44</v>
      </c>
      <c r="C26" s="3" t="s">
        <v>45</v>
      </c>
    </row>
    <row r="27" customFormat="false" ht="26.85" hidden="false" customHeight="false" outlineLevel="0" collapsed="false">
      <c r="A27" s="6" t="s">
        <v>46</v>
      </c>
      <c r="B27" s="25" t="n">
        <v>0.7</v>
      </c>
      <c r="C27" s="6" t="s">
        <v>47</v>
      </c>
      <c r="F27" s="26" t="s">
        <v>48</v>
      </c>
    </row>
    <row r="28" customFormat="false" ht="15" hidden="false" customHeight="false" outlineLevel="0" collapsed="false">
      <c r="A28" s="6" t="s">
        <v>49</v>
      </c>
      <c r="B28" s="25" t="n">
        <v>0.55</v>
      </c>
      <c r="C28" s="6" t="s">
        <v>47</v>
      </c>
    </row>
    <row r="29" customFormat="false" ht="15" hidden="false" customHeight="false" outlineLevel="0" collapsed="false">
      <c r="A29" s="6" t="s">
        <v>50</v>
      </c>
      <c r="B29" s="25" t="n">
        <v>0.75</v>
      </c>
      <c r="C29" s="6" t="s">
        <v>47</v>
      </c>
    </row>
    <row r="30" customFormat="false" ht="15" hidden="false" customHeight="false" outlineLevel="0" collapsed="false">
      <c r="A30" s="6" t="s">
        <v>51</v>
      </c>
      <c r="B30" s="25" t="n">
        <v>0.61</v>
      </c>
      <c r="C30" s="6" t="s">
        <v>47</v>
      </c>
    </row>
    <row r="31" customFormat="false" ht="15" hidden="false" customHeight="false" outlineLevel="0" collapsed="false">
      <c r="A31" s="3" t="s">
        <v>52</v>
      </c>
      <c r="B31" s="27" t="n">
        <f aca="false">AVERAGE(B27:B30)</f>
        <v>0.6525</v>
      </c>
    </row>
    <row r="32" customFormat="false" ht="15" hidden="false" customHeight="false" outlineLevel="0" collapsed="false">
      <c r="A32" s="6" t="s">
        <v>53</v>
      </c>
      <c r="B32" s="28" t="n">
        <f aca="false">MEDIAN(B27:B30)</f>
        <v>0.655</v>
      </c>
    </row>
    <row r="34" customFormat="false" ht="15" hidden="false" customHeight="false" outlineLevel="0" collapsed="false">
      <c r="A34" s="18" t="s">
        <v>54</v>
      </c>
      <c r="B34" s="18"/>
      <c r="C34" s="18"/>
      <c r="D34" s="18"/>
      <c r="E34" s="18"/>
      <c r="F34" s="18"/>
    </row>
    <row r="35" customFormat="false" ht="15" hidden="false" customHeight="false" outlineLevel="0" collapsed="false">
      <c r="A35" s="6" t="s">
        <v>55</v>
      </c>
      <c r="B35" s="22" t="n">
        <v>0.02</v>
      </c>
    </row>
    <row r="36" customFormat="false" ht="15" hidden="false" customHeight="false" outlineLevel="0" collapsed="false">
      <c r="A36" s="6" t="s">
        <v>56</v>
      </c>
      <c r="B36" s="22" t="n">
        <v>0.2</v>
      </c>
    </row>
    <row r="37" customFormat="false" ht="15" hidden="false" customHeight="false" outlineLevel="0" collapsed="false">
      <c r="A37" s="6" t="s">
        <v>57</v>
      </c>
      <c r="B37" s="22" t="n">
        <v>0.2</v>
      </c>
    </row>
    <row r="39" customFormat="false" ht="15" hidden="false" customHeight="false" outlineLevel="0" collapsed="false">
      <c r="A39" s="18" t="s">
        <v>58</v>
      </c>
      <c r="B39" s="18"/>
      <c r="C39" s="18"/>
      <c r="D39" s="18"/>
      <c r="E39" s="18"/>
      <c r="F39" s="18"/>
    </row>
    <row r="40" customFormat="false" ht="15" hidden="false" customHeight="false" outlineLevel="0" collapsed="false">
      <c r="A40" s="3" t="s">
        <v>59</v>
      </c>
      <c r="B40" s="3" t="s">
        <v>60</v>
      </c>
      <c r="C40" s="3" t="s">
        <v>61</v>
      </c>
    </row>
    <row r="41" customFormat="false" ht="15" hidden="false" customHeight="false" outlineLevel="0" collapsed="false">
      <c r="A41" s="6" t="s">
        <v>62</v>
      </c>
      <c r="B41" s="29" t="n">
        <v>4668</v>
      </c>
      <c r="C41" s="29" t="n">
        <v>354</v>
      </c>
    </row>
    <row r="42" customFormat="false" ht="15" hidden="false" customHeight="false" outlineLevel="0" collapsed="false">
      <c r="A42" s="6" t="s">
        <v>63</v>
      </c>
      <c r="B42" s="29" t="n">
        <v>5027</v>
      </c>
      <c r="C42" s="29" t="n">
        <v>368</v>
      </c>
    </row>
    <row r="43" customFormat="false" ht="15" hidden="false" customHeight="false" outlineLevel="0" collapsed="false">
      <c r="A43" s="6" t="s">
        <v>64</v>
      </c>
      <c r="B43" s="29" t="n">
        <v>5210</v>
      </c>
      <c r="C43" s="29" t="n">
        <v>437</v>
      </c>
    </row>
    <row r="44" customFormat="false" ht="15" hidden="false" customHeight="false" outlineLevel="0" collapsed="false">
      <c r="A44" s="6" t="s">
        <v>65</v>
      </c>
      <c r="B44" s="29" t="n">
        <v>2857</v>
      </c>
      <c r="C44" s="29" t="n">
        <v>752</v>
      </c>
    </row>
    <row r="45" customFormat="false" ht="15" hidden="false" customHeight="false" outlineLevel="0" collapsed="false">
      <c r="A45" s="6" t="s">
        <v>66</v>
      </c>
      <c r="B45" s="29" t="n">
        <v>5561</v>
      </c>
      <c r="C45" s="29" t="n">
        <v>561</v>
      </c>
    </row>
    <row r="46" customFormat="false" ht="15" hidden="false" customHeight="false" outlineLevel="0" collapsed="false">
      <c r="A46" s="6" t="s">
        <v>67</v>
      </c>
      <c r="B46" s="29" t="n">
        <v>659</v>
      </c>
      <c r="C46" s="29" t="n">
        <v>887</v>
      </c>
    </row>
    <row r="47" customFormat="false" ht="15" hidden="false" customHeight="false" outlineLevel="0" collapsed="false">
      <c r="A47" s="6" t="s">
        <v>68</v>
      </c>
      <c r="B47" s="29" t="n">
        <v>619</v>
      </c>
    </row>
    <row r="48" customFormat="false" ht="15" hidden="false" customHeight="false" outlineLevel="0" collapsed="false">
      <c r="A48" s="6" t="s">
        <v>69</v>
      </c>
      <c r="B48" s="29" t="n">
        <v>0</v>
      </c>
    </row>
    <row r="50" customFormat="false" ht="15" hidden="false" customHeight="false" outlineLevel="0" collapsed="false">
      <c r="A50" s="18" t="s">
        <v>70</v>
      </c>
      <c r="B50" s="18"/>
      <c r="C50" s="18"/>
      <c r="D50" s="18"/>
      <c r="E50" s="18"/>
      <c r="F50" s="18"/>
    </row>
    <row r="51" customFormat="false" ht="15" hidden="false" customHeight="false" outlineLevel="0" collapsed="false">
      <c r="A51" s="6" t="s">
        <v>71</v>
      </c>
      <c r="B51" s="29" t="n">
        <v>5729</v>
      </c>
    </row>
    <row r="52" customFormat="false" ht="15" hidden="false" customHeight="false" outlineLevel="0" collapsed="false">
      <c r="A52" s="6" t="s">
        <v>72</v>
      </c>
      <c r="B52" s="30" t="n">
        <v>7967.4</v>
      </c>
    </row>
    <row r="53" customFormat="false" ht="15" hidden="false" customHeight="false" outlineLevel="0" collapsed="false">
      <c r="A53" s="6" t="s">
        <v>73</v>
      </c>
      <c r="B53" s="30" t="n">
        <v>320.18</v>
      </c>
    </row>
    <row r="54" customFormat="false" ht="15" hidden="false" customHeight="false" outlineLevel="0" collapsed="false">
      <c r="A54" s="6" t="s">
        <v>74</v>
      </c>
      <c r="B54" s="30" t="n">
        <v>1994.6</v>
      </c>
    </row>
    <row r="55" customFormat="false" ht="15" hidden="false" customHeight="false" outlineLevel="0" collapsed="false">
      <c r="A55" s="6" t="s">
        <v>75</v>
      </c>
      <c r="B55" s="30" t="n">
        <v>1373</v>
      </c>
    </row>
    <row r="56" customFormat="false" ht="15" hidden="false" customHeight="false" outlineLevel="0" collapsed="false">
      <c r="A56" s="6" t="s">
        <v>76</v>
      </c>
      <c r="B56" s="31" t="n">
        <f aca="false">B54/B53</f>
        <v>6.22962083827847</v>
      </c>
    </row>
    <row r="57" customFormat="false" ht="15" hidden="false" customHeight="false" outlineLevel="0" collapsed="false">
      <c r="A57" s="6" t="s">
        <v>77</v>
      </c>
      <c r="B57" s="31" t="n">
        <f aca="false">B55/B53</f>
        <v>4.28821288025486</v>
      </c>
    </row>
    <row r="59" customFormat="false" ht="15" hidden="false" customHeight="false" outlineLevel="0" collapsed="false">
      <c r="A59" s="18" t="s">
        <v>78</v>
      </c>
      <c r="B59" s="18"/>
      <c r="C59" s="18"/>
      <c r="D59" s="18"/>
      <c r="E59" s="18"/>
      <c r="F59" s="18"/>
    </row>
    <row r="60" customFormat="false" ht="15" hidden="false" customHeight="false" outlineLevel="0" collapsed="false">
      <c r="A60" s="6" t="s">
        <v>79</v>
      </c>
      <c r="B60" s="22" t="n">
        <v>0</v>
      </c>
    </row>
    <row r="61" customFormat="false" ht="15" hidden="false" customHeight="false" outlineLevel="0" collapsed="false">
      <c r="A61" s="6" t="s">
        <v>80</v>
      </c>
      <c r="B61" s="22" t="n">
        <v>0</v>
      </c>
    </row>
    <row r="62" customFormat="false" ht="15" hidden="false" customHeight="false" outlineLevel="0" collapsed="false">
      <c r="A62" s="6" t="s">
        <v>81</v>
      </c>
      <c r="B62" s="22" t="n">
        <v>0.35</v>
      </c>
    </row>
    <row r="63" customFormat="false" ht="15" hidden="false" customHeight="false" outlineLevel="0" collapsed="false">
      <c r="A63" s="6" t="s">
        <v>82</v>
      </c>
      <c r="B63" s="25" t="n">
        <v>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20"/>
    <col collapsed="false" customWidth="true" hidden="false" outlineLevel="0" max="5" min="5" style="0" width="4"/>
  </cols>
  <sheetData>
    <row r="1" customFormat="false" ht="24" hidden="false" customHeight="true" outlineLevel="0" collapsed="false">
      <c r="A1" s="1" t="s">
        <v>83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84</v>
      </c>
    </row>
    <row r="4" customFormat="false" ht="30" hidden="false" customHeight="true" outlineLevel="0" collapsed="false">
      <c r="A4" s="3" t="s">
        <v>85</v>
      </c>
      <c r="B4" s="4" t="s">
        <v>3</v>
      </c>
      <c r="C4" s="4" t="s">
        <v>4</v>
      </c>
      <c r="D4" s="5" t="s">
        <v>5</v>
      </c>
    </row>
    <row r="5" customFormat="false" ht="15" hidden="false" customHeight="false" outlineLevel="0" collapsed="false">
      <c r="A5" s="6" t="s">
        <v>86</v>
      </c>
      <c r="B5" s="32" t="n">
        <f aca="false">Datos!B6</f>
        <v>0.0422</v>
      </c>
      <c r="C5" s="32" t="n">
        <f aca="false">Datos!B7</f>
        <v>0.0484</v>
      </c>
      <c r="D5" s="32" t="n">
        <f aca="false">Datos!B8</f>
        <v>0.0477</v>
      </c>
    </row>
    <row r="6" customFormat="false" ht="15" hidden="false" customHeight="false" outlineLevel="0" collapsed="false">
      <c r="A6" s="6" t="s">
        <v>87</v>
      </c>
      <c r="B6" s="33" t="n">
        <f aca="false">Datos!E12</f>
        <v>0.048</v>
      </c>
      <c r="C6" s="33" t="n">
        <f aca="false">Datos!C12</f>
        <v>0.072</v>
      </c>
      <c r="D6" s="33" t="n">
        <f aca="false">Datos!D22</f>
        <v>0.06</v>
      </c>
    </row>
    <row r="7" customFormat="false" ht="15" hidden="false" customHeight="false" outlineLevel="0" collapsed="false">
      <c r="A7" s="6" t="s">
        <v>88</v>
      </c>
      <c r="B7" s="34" t="n">
        <f aca="false">Datos!B31</f>
        <v>0.6525</v>
      </c>
      <c r="C7" s="34" t="n">
        <f aca="false">Datos!B31</f>
        <v>0.6525</v>
      </c>
      <c r="D7" s="34" t="n">
        <f aca="false">Datos!B31</f>
        <v>0.6525</v>
      </c>
    </row>
    <row r="8" customFormat="false" ht="15" hidden="false" customHeight="false" outlineLevel="0" collapsed="false">
      <c r="A8" s="6" t="s">
        <v>89</v>
      </c>
      <c r="B8" s="35" t="n">
        <v>0</v>
      </c>
      <c r="C8" s="33" t="n">
        <f aca="false">Datos!B36</f>
        <v>0.2</v>
      </c>
      <c r="D8" s="33" t="n">
        <f aca="false">Datos!B36</f>
        <v>0.2</v>
      </c>
    </row>
    <row r="9" customFormat="false" ht="15" hidden="false" customHeight="false" outlineLevel="0" collapsed="false">
      <c r="A9" s="6" t="s">
        <v>90</v>
      </c>
      <c r="B9" s="35" t="n">
        <v>0</v>
      </c>
      <c r="C9" s="33" t="n">
        <f aca="false">Datos!B37</f>
        <v>0.2</v>
      </c>
      <c r="D9" s="35" t="n">
        <v>0</v>
      </c>
    </row>
    <row r="10" customFormat="false" ht="15" hidden="false" customHeight="false" outlineLevel="0" collapsed="false">
      <c r="A10" s="3" t="s">
        <v>91</v>
      </c>
      <c r="B10" s="27" t="n">
        <f aca="false">B7*(1+B8)*(1+B9)</f>
        <v>0.6525</v>
      </c>
      <c r="C10" s="27" t="n">
        <f aca="false">C7*(1+C8)*(1+C9)</f>
        <v>0.9396</v>
      </c>
      <c r="D10" s="27" t="n">
        <f aca="false">D7*(1+D8)*(1+D9)</f>
        <v>0.783</v>
      </c>
    </row>
    <row r="11" customFormat="false" ht="15" hidden="false" customHeight="false" outlineLevel="0" collapsed="false">
      <c r="A11" s="6" t="s">
        <v>92</v>
      </c>
      <c r="B11" s="35" t="n">
        <v>0</v>
      </c>
      <c r="C11" s="33" t="n">
        <f aca="false">Datos!B35</f>
        <v>0.02</v>
      </c>
      <c r="D11" s="35" t="n">
        <v>0</v>
      </c>
    </row>
    <row r="12" customFormat="false" ht="15" hidden="false" customHeight="false" outlineLevel="0" collapsed="false">
      <c r="A12" s="6" t="s">
        <v>93</v>
      </c>
      <c r="B12" s="36" t="n">
        <f aca="false">Datos!B48</f>
        <v>0</v>
      </c>
      <c r="C12" s="36" t="n">
        <f aca="false">Datos!B44</f>
        <v>2857</v>
      </c>
      <c r="D12" s="36" t="n">
        <f aca="false">Datos!B47</f>
        <v>619</v>
      </c>
    </row>
    <row r="13" customFormat="false" ht="15" hidden="false" customHeight="false" outlineLevel="0" collapsed="false">
      <c r="A13" s="6" t="s">
        <v>94</v>
      </c>
      <c r="B13" s="37" t="n">
        <f aca="false">B12/10000</f>
        <v>0</v>
      </c>
      <c r="C13" s="37" t="n">
        <f aca="false">C12/10000</f>
        <v>0.2857</v>
      </c>
      <c r="D13" s="37" t="n">
        <f aca="false">D12/10000</f>
        <v>0.0619</v>
      </c>
    </row>
    <row r="15" customFormat="false" ht="15" hidden="false" customHeight="false" outlineLevel="0" collapsed="false">
      <c r="A15" s="3" t="s">
        <v>95</v>
      </c>
      <c r="B15" s="38" t="n">
        <f aca="false">B5+B10*B6+B11+B13</f>
        <v>0.07352</v>
      </c>
      <c r="C15" s="38" t="n">
        <f aca="false">C5+C10*C6+C11+C13</f>
        <v>0.4217512</v>
      </c>
      <c r="D15" s="38" t="n">
        <f aca="false">D5+D10*D6+D11+D13</f>
        <v>0.15658</v>
      </c>
    </row>
    <row r="16" customFormat="false" ht="15" hidden="false" customHeight="false" outlineLevel="0" collapsed="false">
      <c r="A16" s="6" t="s">
        <v>96</v>
      </c>
      <c r="B16" s="39" t="n">
        <f aca="false">Datos!B60</f>
        <v>0</v>
      </c>
      <c r="C16" s="39" t="n">
        <f aca="false">Datos!B60</f>
        <v>0</v>
      </c>
      <c r="D16" s="39" t="n">
        <f aca="false">Datos!B60</f>
        <v>0</v>
      </c>
    </row>
    <row r="17" customFormat="false" ht="15" hidden="false" customHeight="false" outlineLevel="0" collapsed="false">
      <c r="A17" s="6" t="s">
        <v>97</v>
      </c>
      <c r="B17" s="40" t="n">
        <f aca="false">Datos!B61*(1-Datos!B62)</f>
        <v>0</v>
      </c>
      <c r="C17" s="40" t="n">
        <f aca="false">Datos!B61*(1-Datos!B62)</f>
        <v>0</v>
      </c>
      <c r="D17" s="40" t="n">
        <f aca="false">Datos!B61*(1-Datos!B62)</f>
        <v>0</v>
      </c>
    </row>
    <row r="18" customFormat="false" ht="15" hidden="false" customHeight="false" outlineLevel="0" collapsed="false">
      <c r="A18" s="3" t="s">
        <v>98</v>
      </c>
      <c r="B18" s="41" t="n">
        <f aca="false">B17*B16+B15*(1-B16)</f>
        <v>0.07352</v>
      </c>
      <c r="C18" s="41" t="n">
        <f aca="false">C17*C16+C15*(1-C16)</f>
        <v>0.4217512</v>
      </c>
      <c r="D18" s="41" t="n">
        <f aca="false">D17*D16+D15*(1-D16)</f>
        <v>0.15658</v>
      </c>
    </row>
    <row r="20" customFormat="false" ht="15" hidden="false" customHeight="false" outlineLevel="0" collapsed="false">
      <c r="A20" s="18" t="s">
        <v>99</v>
      </c>
      <c r="B20" s="18"/>
      <c r="C20" s="18"/>
      <c r="D20" s="18"/>
    </row>
    <row r="21" customFormat="false" ht="15" hidden="false" customHeight="false" outlineLevel="0" collapsed="false">
      <c r="A21" s="6" t="s">
        <v>100</v>
      </c>
      <c r="B21" s="42" t="n">
        <f aca="false">Datos!B51</f>
        <v>5729</v>
      </c>
      <c r="C21" s="42" t="n">
        <f aca="false">Datos!B51</f>
        <v>5729</v>
      </c>
      <c r="D21" s="42" t="n">
        <f aca="false">Datos!B51</f>
        <v>5729</v>
      </c>
    </row>
    <row r="22" customFormat="false" ht="15" hidden="false" customHeight="false" outlineLevel="0" collapsed="false">
      <c r="A22" s="3" t="s">
        <v>9</v>
      </c>
      <c r="B22" s="43" t="n">
        <f aca="false">B18*B21</f>
        <v>421.19608</v>
      </c>
      <c r="C22" s="43" t="n">
        <f aca="false">C18*C21</f>
        <v>2416.2126248</v>
      </c>
      <c r="D22" s="43" t="n">
        <f aca="false">D18*D21</f>
        <v>897.04682</v>
      </c>
    </row>
    <row r="23" customFormat="false" ht="15" hidden="false" customHeight="false" outlineLevel="0" collapsed="false">
      <c r="A23" s="6" t="s">
        <v>73</v>
      </c>
      <c r="B23" s="44" t="n">
        <f aca="false">Datos!B53</f>
        <v>320.18</v>
      </c>
      <c r="C23" s="44" t="n">
        <f aca="false">Datos!B53</f>
        <v>320.18</v>
      </c>
      <c r="D23" s="44" t="n">
        <f aca="false">Datos!B53</f>
        <v>320.18</v>
      </c>
    </row>
    <row r="24" customFormat="false" ht="15" hidden="false" customHeight="false" outlineLevel="0" collapsed="false">
      <c r="A24" s="3" t="s">
        <v>10</v>
      </c>
      <c r="B24" s="45" t="n">
        <f aca="false">IF(B23=0,0,B22/B23)</f>
        <v>1.31549778249735</v>
      </c>
      <c r="C24" s="45" t="n">
        <f aca="false">IF(C23=0,0,C22/C23)</f>
        <v>7.54641959147979</v>
      </c>
      <c r="D24" s="45" t="n">
        <f aca="false">IF(D23=0,0,D22/D23)</f>
        <v>2.80169535886064</v>
      </c>
    </row>
    <row r="25" customFormat="false" ht="15" hidden="false" customHeight="false" outlineLevel="0" collapsed="false">
      <c r="A25" s="6" t="s">
        <v>101</v>
      </c>
      <c r="B25" s="46" t="n">
        <f aca="false">Datos!B56</f>
        <v>6.22962083827847</v>
      </c>
      <c r="C25" s="46" t="n">
        <f aca="false">Datos!B56</f>
        <v>6.22962083827847</v>
      </c>
      <c r="D25" s="46" t="n">
        <f aca="false">Datos!B56</f>
        <v>6.22962083827847</v>
      </c>
    </row>
    <row r="26" customFormat="false" ht="15" hidden="false" customHeight="false" outlineLevel="0" collapsed="false">
      <c r="A26" s="6" t="s">
        <v>102</v>
      </c>
      <c r="B26" s="24" t="n">
        <f aca="false">IF(Datos!$B$54=0,0,B22/Datos!$B$54)</f>
        <v>0.211168194124135</v>
      </c>
      <c r="C26" s="24" t="n">
        <f aca="false">IF(Datos!$B$54=0,0,C22/Datos!$B$54)</f>
        <v>1.21137703038203</v>
      </c>
      <c r="D26" s="24" t="n">
        <f aca="false">IF(Datos!$B$54=0,0,D22/Datos!$B$54)</f>
        <v>0.449737701794846</v>
      </c>
    </row>
    <row r="27" customFormat="false" ht="15" hidden="false" customHeight="false" outlineLevel="0" collapsed="false">
      <c r="A27" s="6" t="s">
        <v>103</v>
      </c>
      <c r="B27" s="47" t="n">
        <f aca="false">(B18-$D$18)*100</f>
        <v>-8.306</v>
      </c>
      <c r="C27" s="47" t="n">
        <f aca="false">(C18-$D$18)*100</f>
        <v>26.51712</v>
      </c>
      <c r="D27" s="47" t="n">
        <f aca="false">(D18-$D$18)*100</f>
        <v>0</v>
      </c>
    </row>
    <row r="28" customFormat="false" ht="15" hidden="false" customHeight="false" outlineLevel="0" collapsed="false">
      <c r="A28" s="6" t="s">
        <v>104</v>
      </c>
      <c r="B28" s="48" t="n">
        <f aca="false">IF(B18=0,0,100/B18)</f>
        <v>1360.17410228509</v>
      </c>
      <c r="C28" s="48" t="n">
        <f aca="false">IF(C18=0,0,100/C18)</f>
        <v>237.10661641271</v>
      </c>
      <c r="D28" s="48" t="n">
        <f aca="false">IF(D18=0,0,100/D18)</f>
        <v>638.651168731639</v>
      </c>
    </row>
    <row r="30" customFormat="false" ht="15" hidden="false" customHeight="false" outlineLevel="0" collapsed="false">
      <c r="A30" s="18" t="s">
        <v>105</v>
      </c>
      <c r="B30" s="18"/>
      <c r="C30" s="18"/>
      <c r="D30" s="18"/>
    </row>
    <row r="31" customFormat="false" ht="61.5" hidden="false" customHeight="true" outlineLevel="0" collapsed="false">
      <c r="A31" s="3" t="s">
        <v>106</v>
      </c>
      <c r="B31" s="49" t="s">
        <v>107</v>
      </c>
      <c r="C31" s="49" t="s">
        <v>108</v>
      </c>
      <c r="D31" s="50" t="s">
        <v>109</v>
      </c>
    </row>
    <row r="32" customFormat="false" ht="61.5" hidden="false" customHeight="true" outlineLevel="0" collapsed="false">
      <c r="A32" s="3" t="s">
        <v>110</v>
      </c>
      <c r="B32" s="49" t="s">
        <v>111</v>
      </c>
      <c r="C32" s="49" t="s">
        <v>112</v>
      </c>
      <c r="D32" s="50" t="s">
        <v>113</v>
      </c>
    </row>
    <row r="33" customFormat="false" ht="61.5" hidden="false" customHeight="true" outlineLevel="0" collapsed="false">
      <c r="A33" s="3" t="s">
        <v>114</v>
      </c>
      <c r="B33" s="49" t="s">
        <v>115</v>
      </c>
      <c r="C33" s="49" t="s">
        <v>116</v>
      </c>
      <c r="D33" s="50" t="s">
        <v>117</v>
      </c>
    </row>
    <row r="34" customFormat="false" ht="61.5" hidden="false" customHeight="true" outlineLevel="0" collapsed="false">
      <c r="A34" s="3" t="s">
        <v>118</v>
      </c>
      <c r="B34" s="49" t="s">
        <v>119</v>
      </c>
      <c r="C34" s="49" t="s">
        <v>120</v>
      </c>
      <c r="D34" s="50" t="s">
        <v>121</v>
      </c>
    </row>
    <row r="35" customFormat="false" ht="61.5" hidden="false" customHeight="true" outlineLevel="0" collapsed="false">
      <c r="A35" s="3" t="s">
        <v>122</v>
      </c>
      <c r="B35" s="49" t="s">
        <v>123</v>
      </c>
      <c r="C35" s="49" t="s">
        <v>124</v>
      </c>
      <c r="D35" s="50" t="s">
        <v>125</v>
      </c>
    </row>
    <row r="36" customFormat="false" ht="15" hidden="false" customHeight="false" outlineLevel="0" collapsed="false">
      <c r="D36" s="51"/>
    </row>
    <row r="37" customFormat="false" ht="15" hidden="false" customHeight="false" outlineLevel="0" collapsed="false">
      <c r="A37" s="18" t="s">
        <v>126</v>
      </c>
      <c r="B37" s="18"/>
      <c r="C37" s="18"/>
      <c r="D37" s="52"/>
    </row>
    <row r="38" customFormat="false" ht="30" hidden="false" customHeight="true" outlineLevel="0" collapsed="false">
      <c r="A38" s="53" t="s">
        <v>127</v>
      </c>
      <c r="B38" s="49" t="s">
        <v>128</v>
      </c>
      <c r="C38" s="49" t="s">
        <v>129</v>
      </c>
      <c r="D38" s="50" t="s">
        <v>130</v>
      </c>
    </row>
    <row r="39" customFormat="false" ht="30" hidden="false" customHeight="true" outlineLevel="0" collapsed="false">
      <c r="A39" s="53" t="s">
        <v>131</v>
      </c>
      <c r="B39" s="49" t="s">
        <v>132</v>
      </c>
      <c r="C39" s="49" t="s">
        <v>133</v>
      </c>
      <c r="D39" s="50" t="s">
        <v>134</v>
      </c>
    </row>
    <row r="40" customFormat="false" ht="30" hidden="false" customHeight="true" outlineLevel="0" collapsed="false">
      <c r="A40" s="53" t="s">
        <v>135</v>
      </c>
      <c r="B40" s="49" t="s">
        <v>136</v>
      </c>
      <c r="C40" s="49" t="s">
        <v>137</v>
      </c>
      <c r="D40" s="50" t="s">
        <v>138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3"/>
  </cols>
  <sheetData>
    <row r="1" customFormat="false" ht="24" hidden="false" customHeight="true" outlineLevel="0" collapsed="false">
      <c r="A1" s="1" t="s">
        <v>139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140</v>
      </c>
    </row>
    <row r="4" customFormat="false" ht="15" hidden="false" customHeight="false" outlineLevel="0" collapsed="false">
      <c r="A4" s="18" t="s">
        <v>141</v>
      </c>
      <c r="B4" s="18"/>
      <c r="C4" s="18"/>
      <c r="D4" s="18"/>
      <c r="E4" s="18"/>
      <c r="F4" s="18"/>
      <c r="G4" s="18"/>
      <c r="H4" s="18"/>
    </row>
    <row r="5" customFormat="false" ht="15" hidden="false" customHeight="false" outlineLevel="0" collapsed="false">
      <c r="A5" s="3" t="s">
        <v>142</v>
      </c>
      <c r="B5" s="54" t="n">
        <v>0</v>
      </c>
      <c r="C5" s="54" t="n">
        <v>354</v>
      </c>
      <c r="D5" s="54" t="n">
        <v>619</v>
      </c>
      <c r="E5" s="54" t="n">
        <v>659</v>
      </c>
      <c r="F5" s="54" t="n">
        <v>1500</v>
      </c>
      <c r="G5" s="54" t="n">
        <v>2857</v>
      </c>
      <c r="H5" s="54" t="n">
        <v>4668</v>
      </c>
    </row>
    <row r="6" customFormat="false" ht="15" hidden="false" customHeight="false" outlineLevel="0" collapsed="false">
      <c r="A6" s="55" t="n">
        <v>0.029</v>
      </c>
      <c r="B6" s="24" t="n">
        <f aca="false">Alternativas!$D$5+Alternativas!$D$10*$A6+Alternativas!$D$11+B$5/10000</f>
        <v>0.070407</v>
      </c>
      <c r="C6" s="24" t="n">
        <f aca="false">Alternativas!$D$5+Alternativas!$D$10*$A6+Alternativas!$D$11+C$5/10000</f>
        <v>0.105807</v>
      </c>
      <c r="D6" s="56" t="n">
        <f aca="false">Alternativas!$D$5+Alternativas!$D$10*$A6+Alternativas!$D$11+D$5/10000</f>
        <v>0.132307</v>
      </c>
      <c r="E6" s="24" t="n">
        <f aca="false">Alternativas!$D$5+Alternativas!$D$10*$A6+Alternativas!$D$11+E$5/10000</f>
        <v>0.136307</v>
      </c>
      <c r="F6" s="24" t="n">
        <f aca="false">Alternativas!$D$5+Alternativas!$D$10*$A6+Alternativas!$D$11+F$5/10000</f>
        <v>0.220407</v>
      </c>
      <c r="G6" s="24" t="n">
        <f aca="false">Alternativas!$D$5+Alternativas!$D$10*$A6+Alternativas!$D$11+G$5/10000</f>
        <v>0.356107</v>
      </c>
      <c r="H6" s="24" t="n">
        <f aca="false">Alternativas!$D$5+Alternativas!$D$10*$A6+Alternativas!$D$11+H$5/10000</f>
        <v>0.537207</v>
      </c>
    </row>
    <row r="7" customFormat="false" ht="15" hidden="false" customHeight="false" outlineLevel="0" collapsed="false">
      <c r="A7" s="55" t="n">
        <v>0.041</v>
      </c>
      <c r="B7" s="24" t="n">
        <f aca="false">Alternativas!$D$5+Alternativas!$D$10*$A7+Alternativas!$D$11+B$5/10000</f>
        <v>0.079803</v>
      </c>
      <c r="C7" s="24" t="n">
        <f aca="false">Alternativas!$D$5+Alternativas!$D$10*$A7+Alternativas!$D$11+C$5/10000</f>
        <v>0.115203</v>
      </c>
      <c r="D7" s="56" t="n">
        <f aca="false">Alternativas!$D$5+Alternativas!$D$10*$A7+Alternativas!$D$11+D$5/10000</f>
        <v>0.141703</v>
      </c>
      <c r="E7" s="24" t="n">
        <f aca="false">Alternativas!$D$5+Alternativas!$D$10*$A7+Alternativas!$D$11+E$5/10000</f>
        <v>0.145703</v>
      </c>
      <c r="F7" s="24" t="n">
        <f aca="false">Alternativas!$D$5+Alternativas!$D$10*$A7+Alternativas!$D$11+F$5/10000</f>
        <v>0.229803</v>
      </c>
      <c r="G7" s="24" t="n">
        <f aca="false">Alternativas!$D$5+Alternativas!$D$10*$A7+Alternativas!$D$11+G$5/10000</f>
        <v>0.365503</v>
      </c>
      <c r="H7" s="24" t="n">
        <f aca="false">Alternativas!$D$5+Alternativas!$D$10*$A7+Alternativas!$D$11+H$5/10000</f>
        <v>0.546603</v>
      </c>
    </row>
    <row r="8" customFormat="false" ht="15" hidden="false" customHeight="false" outlineLevel="0" collapsed="false">
      <c r="A8" s="55" t="n">
        <v>0.048</v>
      </c>
      <c r="B8" s="24" t="n">
        <f aca="false">Alternativas!$D$5+Alternativas!$D$10*$A8+Alternativas!$D$11+B$5/10000</f>
        <v>0.085284</v>
      </c>
      <c r="C8" s="24" t="n">
        <f aca="false">Alternativas!$D$5+Alternativas!$D$10*$A8+Alternativas!$D$11+C$5/10000</f>
        <v>0.120684</v>
      </c>
      <c r="D8" s="56" t="n">
        <f aca="false">Alternativas!$D$5+Alternativas!$D$10*$A8+Alternativas!$D$11+D$5/10000</f>
        <v>0.147184</v>
      </c>
      <c r="E8" s="24" t="n">
        <f aca="false">Alternativas!$D$5+Alternativas!$D$10*$A8+Alternativas!$D$11+E$5/10000</f>
        <v>0.151184</v>
      </c>
      <c r="F8" s="24" t="n">
        <f aca="false">Alternativas!$D$5+Alternativas!$D$10*$A8+Alternativas!$D$11+F$5/10000</f>
        <v>0.235284</v>
      </c>
      <c r="G8" s="24" t="n">
        <f aca="false">Alternativas!$D$5+Alternativas!$D$10*$A8+Alternativas!$D$11+G$5/10000</f>
        <v>0.370984</v>
      </c>
      <c r="H8" s="24" t="n">
        <f aca="false">Alternativas!$D$5+Alternativas!$D$10*$A8+Alternativas!$D$11+H$5/10000</f>
        <v>0.552084</v>
      </c>
    </row>
    <row r="9" customFormat="false" ht="15" hidden="false" customHeight="false" outlineLevel="0" collapsed="false">
      <c r="A9" s="55" t="n">
        <v>0.055</v>
      </c>
      <c r="B9" s="24" t="n">
        <f aca="false">Alternativas!$D$5+Alternativas!$D$10*$A9+Alternativas!$D$11+B$5/10000</f>
        <v>0.090765</v>
      </c>
      <c r="C9" s="24" t="n">
        <f aca="false">Alternativas!$D$5+Alternativas!$D$10*$A9+Alternativas!$D$11+C$5/10000</f>
        <v>0.126165</v>
      </c>
      <c r="D9" s="56" t="n">
        <f aca="false">Alternativas!$D$5+Alternativas!$D$10*$A9+Alternativas!$D$11+D$5/10000</f>
        <v>0.152665</v>
      </c>
      <c r="E9" s="24" t="n">
        <f aca="false">Alternativas!$D$5+Alternativas!$D$10*$A9+Alternativas!$D$11+E$5/10000</f>
        <v>0.156665</v>
      </c>
      <c r="F9" s="24" t="n">
        <f aca="false">Alternativas!$D$5+Alternativas!$D$10*$A9+Alternativas!$D$11+F$5/10000</f>
        <v>0.240765</v>
      </c>
      <c r="G9" s="24" t="n">
        <f aca="false">Alternativas!$D$5+Alternativas!$D$10*$A9+Alternativas!$D$11+G$5/10000</f>
        <v>0.376465</v>
      </c>
      <c r="H9" s="24" t="n">
        <f aca="false">Alternativas!$D$5+Alternativas!$D$10*$A9+Alternativas!$D$11+H$5/10000</f>
        <v>0.557565</v>
      </c>
    </row>
    <row r="10" customFormat="false" ht="15" hidden="false" customHeight="false" outlineLevel="0" collapsed="false">
      <c r="A10" s="55" t="n">
        <v>0.06</v>
      </c>
      <c r="B10" s="56" t="n">
        <f aca="false">Alternativas!$D$5+Alternativas!$D$10*$A10+Alternativas!$D$11+B$5/10000</f>
        <v>0.09468</v>
      </c>
      <c r="C10" s="56" t="n">
        <f aca="false">Alternativas!$D$5+Alternativas!$D$10*$A10+Alternativas!$D$11+C$5/10000</f>
        <v>0.13008</v>
      </c>
      <c r="D10" s="56" t="n">
        <f aca="false">Alternativas!$D$5+Alternativas!$D$10*$A10+Alternativas!$D$11+D$5/10000</f>
        <v>0.15658</v>
      </c>
      <c r="E10" s="56" t="n">
        <f aca="false">Alternativas!$D$5+Alternativas!$D$10*$A10+Alternativas!$D$11+E$5/10000</f>
        <v>0.16058</v>
      </c>
      <c r="F10" s="56" t="n">
        <f aca="false">Alternativas!$D$5+Alternativas!$D$10*$A10+Alternativas!$D$11+F$5/10000</f>
        <v>0.24468</v>
      </c>
      <c r="G10" s="56" t="n">
        <f aca="false">Alternativas!$D$5+Alternativas!$D$10*$A10+Alternativas!$D$11+G$5/10000</f>
        <v>0.38038</v>
      </c>
      <c r="H10" s="56" t="n">
        <f aca="false">Alternativas!$D$5+Alternativas!$D$10*$A10+Alternativas!$D$11+H$5/10000</f>
        <v>0.56148</v>
      </c>
    </row>
    <row r="11" customFormat="false" ht="15" hidden="false" customHeight="false" outlineLevel="0" collapsed="false">
      <c r="A11" s="55" t="n">
        <v>0.065</v>
      </c>
      <c r="B11" s="24" t="n">
        <f aca="false">Alternativas!$D$5+Alternativas!$D$10*$A11+Alternativas!$D$11+B$5/10000</f>
        <v>0.098595</v>
      </c>
      <c r="C11" s="24" t="n">
        <f aca="false">Alternativas!$D$5+Alternativas!$D$10*$A11+Alternativas!$D$11+C$5/10000</f>
        <v>0.133995</v>
      </c>
      <c r="D11" s="56" t="n">
        <f aca="false">Alternativas!$D$5+Alternativas!$D$10*$A11+Alternativas!$D$11+D$5/10000</f>
        <v>0.160495</v>
      </c>
      <c r="E11" s="24" t="n">
        <f aca="false">Alternativas!$D$5+Alternativas!$D$10*$A11+Alternativas!$D$11+E$5/10000</f>
        <v>0.164495</v>
      </c>
      <c r="F11" s="24" t="n">
        <f aca="false">Alternativas!$D$5+Alternativas!$D$10*$A11+Alternativas!$D$11+F$5/10000</f>
        <v>0.248595</v>
      </c>
      <c r="G11" s="24" t="n">
        <f aca="false">Alternativas!$D$5+Alternativas!$D$10*$A11+Alternativas!$D$11+G$5/10000</f>
        <v>0.384295</v>
      </c>
      <c r="H11" s="24" t="n">
        <f aca="false">Alternativas!$D$5+Alternativas!$D$10*$A11+Alternativas!$D$11+H$5/10000</f>
        <v>0.565395</v>
      </c>
    </row>
    <row r="12" customFormat="false" ht="15" hidden="false" customHeight="false" outlineLevel="0" collapsed="false">
      <c r="A12" s="55" t="n">
        <v>0.072</v>
      </c>
      <c r="B12" s="24" t="n">
        <f aca="false">Alternativas!$D$5+Alternativas!$D$10*$A12+Alternativas!$D$11+B$5/10000</f>
        <v>0.104076</v>
      </c>
      <c r="C12" s="24" t="n">
        <f aca="false">Alternativas!$D$5+Alternativas!$D$10*$A12+Alternativas!$D$11+C$5/10000</f>
        <v>0.139476</v>
      </c>
      <c r="D12" s="56" t="n">
        <f aca="false">Alternativas!$D$5+Alternativas!$D$10*$A12+Alternativas!$D$11+D$5/10000</f>
        <v>0.165976</v>
      </c>
      <c r="E12" s="24" t="n">
        <f aca="false">Alternativas!$D$5+Alternativas!$D$10*$A12+Alternativas!$D$11+E$5/10000</f>
        <v>0.169976</v>
      </c>
      <c r="F12" s="24" t="n">
        <f aca="false">Alternativas!$D$5+Alternativas!$D$10*$A12+Alternativas!$D$11+F$5/10000</f>
        <v>0.254076</v>
      </c>
      <c r="G12" s="24" t="n">
        <f aca="false">Alternativas!$D$5+Alternativas!$D$10*$A12+Alternativas!$D$11+G$5/10000</f>
        <v>0.389776</v>
      </c>
      <c r="H12" s="24" t="n">
        <f aca="false">Alternativas!$D$5+Alternativas!$D$10*$A12+Alternativas!$D$11+H$5/10000</f>
        <v>0.570876</v>
      </c>
    </row>
    <row r="13" customFormat="false" ht="15" hidden="false" customHeight="false" outlineLevel="0" collapsed="false">
      <c r="A13" s="55" t="n">
        <v>0.081</v>
      </c>
      <c r="B13" s="24" t="n">
        <f aca="false">Alternativas!$D$5+Alternativas!$D$10*$A13+Alternativas!$D$11+B$5/10000</f>
        <v>0.111123</v>
      </c>
      <c r="C13" s="24" t="n">
        <f aca="false">Alternativas!$D$5+Alternativas!$D$10*$A13+Alternativas!$D$11+C$5/10000</f>
        <v>0.146523</v>
      </c>
      <c r="D13" s="56" t="n">
        <f aca="false">Alternativas!$D$5+Alternativas!$D$10*$A13+Alternativas!$D$11+D$5/10000</f>
        <v>0.173023</v>
      </c>
      <c r="E13" s="24" t="n">
        <f aca="false">Alternativas!$D$5+Alternativas!$D$10*$A13+Alternativas!$D$11+E$5/10000</f>
        <v>0.177023</v>
      </c>
      <c r="F13" s="24" t="n">
        <f aca="false">Alternativas!$D$5+Alternativas!$D$10*$A13+Alternativas!$D$11+F$5/10000</f>
        <v>0.261123</v>
      </c>
      <c r="G13" s="24" t="n">
        <f aca="false">Alternativas!$D$5+Alternativas!$D$10*$A13+Alternativas!$D$11+G$5/10000</f>
        <v>0.396823</v>
      </c>
      <c r="H13" s="24" t="n">
        <f aca="false">Alternativas!$D$5+Alternativas!$D$10*$A13+Alternativas!$D$11+H$5/10000</f>
        <v>0.577923</v>
      </c>
    </row>
    <row r="14" customFormat="false" ht="15" hidden="false" customHeight="false" outlineLevel="0" collapsed="false">
      <c r="A14" s="20" t="s">
        <v>143</v>
      </c>
    </row>
    <row r="16" customFormat="false" ht="15" hidden="false" customHeight="false" outlineLevel="0" collapsed="false">
      <c r="A16" s="18" t="s">
        <v>144</v>
      </c>
      <c r="B16" s="18"/>
      <c r="C16" s="18"/>
      <c r="D16" s="18"/>
      <c r="E16" s="18"/>
      <c r="F16" s="18"/>
      <c r="G16" s="18"/>
      <c r="H16" s="18"/>
    </row>
    <row r="17" customFormat="false" ht="15" hidden="false" customHeight="false" outlineLevel="0" collapsed="false">
      <c r="A17" s="3" t="s">
        <v>145</v>
      </c>
      <c r="B17" s="55" t="n">
        <v>0.041</v>
      </c>
      <c r="C17" s="55" t="n">
        <v>0.048</v>
      </c>
      <c r="D17" s="55" t="n">
        <v>0.055</v>
      </c>
      <c r="E17" s="55" t="n">
        <v>0.06</v>
      </c>
      <c r="F17" s="55" t="n">
        <v>0.065</v>
      </c>
      <c r="G17" s="55" t="n">
        <v>0.072</v>
      </c>
    </row>
    <row r="18" customFormat="false" ht="15" hidden="false" customHeight="false" outlineLevel="0" collapsed="false">
      <c r="A18" s="57" t="n">
        <v>0.55</v>
      </c>
      <c r="B18" s="24" t="n">
        <f aca="false">Alternativas!$D$5+$A18*B$17+Alternativas!$D$11+Alternativas!$D$13</f>
        <v>0.13215</v>
      </c>
      <c r="C18" s="24" t="n">
        <f aca="false">Alternativas!$D$5+$A18*C$17+Alternativas!$D$11+Alternativas!$D$13</f>
        <v>0.136</v>
      </c>
      <c r="D18" s="24" t="n">
        <f aca="false">Alternativas!$D$5+$A18*D$17+Alternativas!$D$11+Alternativas!$D$13</f>
        <v>0.13985</v>
      </c>
      <c r="E18" s="24" t="n">
        <f aca="false">Alternativas!$D$5+$A18*E$17+Alternativas!$D$11+Alternativas!$D$13</f>
        <v>0.1426</v>
      </c>
      <c r="F18" s="24" t="n">
        <f aca="false">Alternativas!$D$5+$A18*F$17+Alternativas!$D$11+Alternativas!$D$13</f>
        <v>0.14535</v>
      </c>
      <c r="G18" s="24" t="n">
        <f aca="false">Alternativas!$D$5+$A18*G$17+Alternativas!$D$11+Alternativas!$D$13</f>
        <v>0.1492</v>
      </c>
    </row>
    <row r="19" customFormat="false" ht="15" hidden="false" customHeight="false" outlineLevel="0" collapsed="false">
      <c r="A19" s="57" t="n">
        <v>0.6525</v>
      </c>
      <c r="B19" s="24" t="n">
        <f aca="false">Alternativas!$D$5+$A19*B$17+Alternativas!$D$11+Alternativas!$D$13</f>
        <v>0.1363525</v>
      </c>
      <c r="C19" s="24" t="n">
        <f aca="false">Alternativas!$D$5+$A19*C$17+Alternativas!$D$11+Alternativas!$D$13</f>
        <v>0.14092</v>
      </c>
      <c r="D19" s="24" t="n">
        <f aca="false">Alternativas!$D$5+$A19*D$17+Alternativas!$D$11+Alternativas!$D$13</f>
        <v>0.1454875</v>
      </c>
      <c r="E19" s="24" t="n">
        <f aca="false">Alternativas!$D$5+$A19*E$17+Alternativas!$D$11+Alternativas!$D$13</f>
        <v>0.14875</v>
      </c>
      <c r="F19" s="24" t="n">
        <f aca="false">Alternativas!$D$5+$A19*F$17+Alternativas!$D$11+Alternativas!$D$13</f>
        <v>0.1520125</v>
      </c>
      <c r="G19" s="24" t="n">
        <f aca="false">Alternativas!$D$5+$A19*G$17+Alternativas!$D$11+Alternativas!$D$13</f>
        <v>0.15658</v>
      </c>
    </row>
    <row r="20" customFormat="false" ht="15" hidden="false" customHeight="false" outlineLevel="0" collapsed="false">
      <c r="A20" s="57" t="n">
        <v>0.7</v>
      </c>
      <c r="B20" s="24" t="n">
        <f aca="false">Alternativas!$D$5+$A20*B$17+Alternativas!$D$11+Alternativas!$D$13</f>
        <v>0.1383</v>
      </c>
      <c r="C20" s="24" t="n">
        <f aca="false">Alternativas!$D$5+$A20*C$17+Alternativas!$D$11+Alternativas!$D$13</f>
        <v>0.1432</v>
      </c>
      <c r="D20" s="24" t="n">
        <f aca="false">Alternativas!$D$5+$A20*D$17+Alternativas!$D$11+Alternativas!$D$13</f>
        <v>0.1481</v>
      </c>
      <c r="E20" s="24" t="n">
        <f aca="false">Alternativas!$D$5+$A20*E$17+Alternativas!$D$11+Alternativas!$D$13</f>
        <v>0.1516</v>
      </c>
      <c r="F20" s="24" t="n">
        <f aca="false">Alternativas!$D$5+$A20*F$17+Alternativas!$D$11+Alternativas!$D$13</f>
        <v>0.1551</v>
      </c>
      <c r="G20" s="24" t="n">
        <f aca="false">Alternativas!$D$5+$A20*G$17+Alternativas!$D$11+Alternativas!$D$13</f>
        <v>0.16</v>
      </c>
    </row>
    <row r="21" customFormat="false" ht="15" hidden="false" customHeight="false" outlineLevel="0" collapsed="false">
      <c r="A21" s="57" t="n">
        <v>0.75</v>
      </c>
      <c r="B21" s="24" t="n">
        <f aca="false">Alternativas!$D$5+$A21*B$17+Alternativas!$D$11+Alternativas!$D$13</f>
        <v>0.14035</v>
      </c>
      <c r="C21" s="24" t="n">
        <f aca="false">Alternativas!$D$5+$A21*C$17+Alternativas!$D$11+Alternativas!$D$13</f>
        <v>0.1456</v>
      </c>
      <c r="D21" s="24" t="n">
        <f aca="false">Alternativas!$D$5+$A21*D$17+Alternativas!$D$11+Alternativas!$D$13</f>
        <v>0.15085</v>
      </c>
      <c r="E21" s="24" t="n">
        <f aca="false">Alternativas!$D$5+$A21*E$17+Alternativas!$D$11+Alternativas!$D$13</f>
        <v>0.1546</v>
      </c>
      <c r="F21" s="24" t="n">
        <f aca="false">Alternativas!$D$5+$A21*F$17+Alternativas!$D$11+Alternativas!$D$13</f>
        <v>0.15835</v>
      </c>
      <c r="G21" s="24" t="n">
        <f aca="false">Alternativas!$D$5+$A21*G$17+Alternativas!$D$11+Alternativas!$D$13</f>
        <v>0.1636</v>
      </c>
    </row>
    <row r="22" customFormat="false" ht="15" hidden="false" customHeight="false" outlineLevel="0" collapsed="false">
      <c r="A22" s="57" t="n">
        <v>0.783</v>
      </c>
      <c r="B22" s="24" t="n">
        <f aca="false">Alternativas!$D$5+$A22*B$17+Alternativas!$D$11+Alternativas!$D$13</f>
        <v>0.141703</v>
      </c>
      <c r="C22" s="24" t="n">
        <f aca="false">Alternativas!$D$5+$A22*C$17+Alternativas!$D$11+Alternativas!$D$13</f>
        <v>0.147184</v>
      </c>
      <c r="D22" s="24" t="n">
        <f aca="false">Alternativas!$D$5+$A22*D$17+Alternativas!$D$11+Alternativas!$D$13</f>
        <v>0.152665</v>
      </c>
      <c r="E22" s="24" t="n">
        <f aca="false">Alternativas!$D$5+$A22*E$17+Alternativas!$D$11+Alternativas!$D$13</f>
        <v>0.15658</v>
      </c>
      <c r="F22" s="24" t="n">
        <f aca="false">Alternativas!$D$5+$A22*F$17+Alternativas!$D$11+Alternativas!$D$13</f>
        <v>0.160495</v>
      </c>
      <c r="G22" s="24" t="n">
        <f aca="false">Alternativas!$D$5+$A22*G$17+Alternativas!$D$11+Alternativas!$D$13</f>
        <v>0.165976</v>
      </c>
    </row>
    <row r="23" customFormat="false" ht="15" hidden="false" customHeight="false" outlineLevel="0" collapsed="false">
      <c r="A23" s="57" t="n">
        <v>0.85</v>
      </c>
      <c r="B23" s="24" t="n">
        <f aca="false">Alternativas!$D$5+$A23*B$17+Alternativas!$D$11+Alternativas!$D$13</f>
        <v>0.14445</v>
      </c>
      <c r="C23" s="24" t="n">
        <f aca="false">Alternativas!$D$5+$A23*C$17+Alternativas!$D$11+Alternativas!$D$13</f>
        <v>0.1504</v>
      </c>
      <c r="D23" s="24" t="n">
        <f aca="false">Alternativas!$D$5+$A23*D$17+Alternativas!$D$11+Alternativas!$D$13</f>
        <v>0.15635</v>
      </c>
      <c r="E23" s="24" t="n">
        <f aca="false">Alternativas!$D$5+$A23*E$17+Alternativas!$D$11+Alternativas!$D$13</f>
        <v>0.1606</v>
      </c>
      <c r="F23" s="24" t="n">
        <f aca="false">Alternativas!$D$5+$A23*F$17+Alternativas!$D$11+Alternativas!$D$13</f>
        <v>0.16485</v>
      </c>
      <c r="G23" s="24" t="n">
        <f aca="false">Alternativas!$D$5+$A23*G$17+Alternativas!$D$11+Alternativas!$D$13</f>
        <v>0.1708</v>
      </c>
    </row>
    <row r="24" customFormat="false" ht="15" hidden="false" customHeight="false" outlineLevel="0" collapsed="false">
      <c r="A24" s="57" t="n">
        <v>0.94</v>
      </c>
      <c r="B24" s="24" t="n">
        <f aca="false">Alternativas!$D$5+$A24*B$17+Alternativas!$D$11+Alternativas!$D$13</f>
        <v>0.14814</v>
      </c>
      <c r="C24" s="24" t="n">
        <f aca="false">Alternativas!$D$5+$A24*C$17+Alternativas!$D$11+Alternativas!$D$13</f>
        <v>0.15472</v>
      </c>
      <c r="D24" s="24" t="n">
        <f aca="false">Alternativas!$D$5+$A24*D$17+Alternativas!$D$11+Alternativas!$D$13</f>
        <v>0.1613</v>
      </c>
      <c r="E24" s="24" t="n">
        <f aca="false">Alternativas!$D$5+$A24*E$17+Alternativas!$D$11+Alternativas!$D$13</f>
        <v>0.166</v>
      </c>
      <c r="F24" s="24" t="n">
        <f aca="false">Alternativas!$D$5+$A24*F$17+Alternativas!$D$11+Alternativas!$D$13</f>
        <v>0.1707</v>
      </c>
      <c r="G24" s="24" t="n">
        <f aca="false">Alternativas!$D$5+$A24*G$17+Alternativas!$D$11+Alternativas!$D$13</f>
        <v>0.17728</v>
      </c>
    </row>
    <row r="26" customFormat="false" ht="15" hidden="false" customHeight="false" outlineLevel="0" collapsed="false">
      <c r="A26" s="18" t="s">
        <v>146</v>
      </c>
      <c r="B26" s="18"/>
      <c r="C26" s="18"/>
      <c r="D26" s="18"/>
      <c r="E26" s="18"/>
      <c r="F26" s="18"/>
      <c r="G26" s="18"/>
      <c r="H26" s="18"/>
    </row>
    <row r="27" customFormat="false" ht="15" hidden="false" customHeight="false" outlineLevel="0" collapsed="false">
      <c r="A27" s="3" t="s">
        <v>8</v>
      </c>
      <c r="B27" s="54" t="n">
        <v>0</v>
      </c>
      <c r="C27" s="54" t="n">
        <v>354</v>
      </c>
      <c r="D27" s="54" t="n">
        <v>619</v>
      </c>
      <c r="E27" s="54" t="n">
        <v>659</v>
      </c>
      <c r="F27" s="54" t="n">
        <v>1500</v>
      </c>
      <c r="G27" s="54" t="n">
        <v>2857</v>
      </c>
      <c r="H27" s="54" t="n">
        <v>4668</v>
      </c>
    </row>
    <row r="28" customFormat="false" ht="15" hidden="false" customHeight="false" outlineLevel="0" collapsed="false">
      <c r="A28" s="3" t="s">
        <v>147</v>
      </c>
      <c r="B28" s="24" t="n">
        <f aca="false">Alternativas!$D$5+Alternativas!$D$10*Alternativas!$D$6+Alternativas!$D$11+B27/10000</f>
        <v>0.09468</v>
      </c>
      <c r="C28" s="24" t="n">
        <f aca="false">Alternativas!$D$5+Alternativas!$D$10*Alternativas!$D$6+Alternativas!$D$11+C27/10000</f>
        <v>0.13008</v>
      </c>
      <c r="D28" s="24" t="n">
        <f aca="false">Alternativas!$D$5+Alternativas!$D$10*Alternativas!$D$6+Alternativas!$D$11+D27/10000</f>
        <v>0.15658</v>
      </c>
      <c r="E28" s="24" t="n">
        <f aca="false">Alternativas!$D$5+Alternativas!$D$10*Alternativas!$D$6+Alternativas!$D$11+E27/10000</f>
        <v>0.16058</v>
      </c>
      <c r="F28" s="24" t="n">
        <f aca="false">Alternativas!$D$5+Alternativas!$D$10*Alternativas!$D$6+Alternativas!$D$11+F27/10000</f>
        <v>0.24468</v>
      </c>
      <c r="G28" s="24" t="n">
        <f aca="false">Alternativas!$D$5+Alternativas!$D$10*Alternativas!$D$6+Alternativas!$D$11+G27/10000</f>
        <v>0.38038</v>
      </c>
      <c r="H28" s="24" t="n">
        <f aca="false">Alternativas!$D$5+Alternativas!$D$10*Alternativas!$D$6+Alternativas!$D$11+H27/10000</f>
        <v>0.56148</v>
      </c>
    </row>
    <row r="29" customFormat="false" ht="15" hidden="false" customHeight="false" outlineLevel="0" collapsed="false">
      <c r="A29" s="3" t="s">
        <v>148</v>
      </c>
      <c r="B29" s="31" t="n">
        <f aca="false">B28*Datos!$B$51/Datos!$B$53</f>
        <v>1.69411493534887</v>
      </c>
      <c r="C29" s="31" t="n">
        <f aca="false">C28*Datos!$B$51/Datos!$B$53</f>
        <v>2.32752926478856</v>
      </c>
      <c r="D29" s="31" t="n">
        <f aca="false">D28*Datos!$B$51/Datos!$B$53</f>
        <v>2.80169535886064</v>
      </c>
      <c r="E29" s="31" t="n">
        <f aca="false">E28*Datos!$B$51/Datos!$B$53</f>
        <v>2.8732675994753</v>
      </c>
      <c r="F29" s="31" t="n">
        <f aca="false">F28*Datos!$B$51/Datos!$B$53</f>
        <v>4.3780739583984</v>
      </c>
      <c r="G29" s="31" t="n">
        <f aca="false">G28*Datos!$B$51/Datos!$B$53</f>
        <v>6.80616222125055</v>
      </c>
      <c r="H29" s="31" t="n">
        <f aca="false">H28*Datos!$B$51/Datos!$B$53</f>
        <v>10.046595415079</v>
      </c>
    </row>
    <row r="30" customFormat="false" ht="15" hidden="false" customHeight="false" outlineLevel="0" collapsed="false">
      <c r="A30" s="3" t="s">
        <v>149</v>
      </c>
      <c r="B30" s="24" t="n">
        <f aca="false">B28*Datos!$B$51/Datos!$B$54</f>
        <v>0.271945111801865</v>
      </c>
      <c r="C30" s="24" t="n">
        <f aca="false">C28*Datos!$B$51/Datos!$B$54</f>
        <v>0.373622941943247</v>
      </c>
      <c r="D30" s="24" t="n">
        <f aca="false">D28*Datos!$B$51/Datos!$B$54</f>
        <v>0.449737701794846</v>
      </c>
      <c r="E30" s="24" t="n">
        <f aca="false">E28*Datos!$B$51/Datos!$B$54</f>
        <v>0.461226722149805</v>
      </c>
      <c r="F30" s="24" t="n">
        <f aca="false">F28*Datos!$B$51/Datos!$B$54</f>
        <v>0.702783375112805</v>
      </c>
      <c r="G30" s="24" t="n">
        <f aca="false">G28*Datos!$B$51/Datos!$B$54</f>
        <v>1.09254839065477</v>
      </c>
      <c r="H30" s="24" t="n">
        <f aca="false">H28*Datos!$B$51/Datos!$B$54</f>
        <v>1.61271378722551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2026-10-18T21:57:43Z</dcterms:created>
  <dc:creator>openpyxl</dc:creator>
  <dc:description/>
  <dc:language>en-US</dc:language>
  <cp:lastModifiedBy/>
  <dcterms:modified xsi:type="dcterms:W3CDTF">2026-10-18T21:57:46Z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