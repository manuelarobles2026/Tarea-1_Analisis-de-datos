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Supuestos" sheetId="2" state="visible" r:id="rId4"/>
    <sheet name="Historico" sheetId="3" state="visible" r:id="rId5"/>
    <sheet name="Indicadores" sheetId="4" state="visible" r:id="rId6"/>
    <sheet name="Flujo de caja" sheetId="5" state="visible" r:id="rId7"/>
    <sheet name="Proyeccion 2020" sheetId="6" state="visible" r:id="rId8"/>
    <sheet name="Sensibilidad" sheetId="7" state="visible" r:id="rId9"/>
    <sheet name="Descuento proveedor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Dato del Exhibit 2: no se tiene la venta 2015 para recalcularlo.</t>
        </r>
      </text>
    </comment>
  </commentList>
</comments>
</file>

<file path=xl/sharedStrings.xml><?xml version="1.0" encoding="utf-8"?>
<sst xmlns="http://schemas.openxmlformats.org/spreadsheetml/2006/main" count="329" uniqueCount="204">
  <si>
    <t xml:space="preserve">Nelson Nurseries - Resumen de resultados (miles de USD)</t>
  </si>
  <si>
    <t xml:space="preserve">Todas las cifras están vinculadas a las hojas de cálculo; cambiar 'Supuestos' actualiza todo.</t>
  </si>
  <si>
    <t xml:space="preserve">Escenario</t>
  </si>
  <si>
    <t xml:space="preserve">Ventas</t>
  </si>
  <si>
    <t xml:space="preserve">Utilidad neta</t>
  </si>
  <si>
    <t xml:space="preserve">Margen neto</t>
  </si>
  <si>
    <t xml:space="preserve">ROE</t>
  </si>
  <si>
    <t xml:space="preserve">Flujo caja libre</t>
  </si>
  <si>
    <t xml:space="preserve">Deuda requerida</t>
  </si>
  <si>
    <t xml:space="preserve">Deuda/patrimonio</t>
  </si>
  <si>
    <t xml:space="preserve">Cobertura int.</t>
  </si>
  <si>
    <t xml:space="preserve">Referencias</t>
  </si>
  <si>
    <t xml:space="preserve">Crecimiento autosostenible (sin financiamiento externo)</t>
  </si>
  <si>
    <t xml:space="preserve">Flujo de caja libre acumulado 2017-2019</t>
  </si>
  <si>
    <t xml:space="preserve">Utilidad neta acumulada 2017-2019</t>
  </si>
  <si>
    <t xml:space="preserve">Costo anual de no tomar el descuento de proveedores</t>
  </si>
  <si>
    <t xml:space="preserve">Nelson Nurseries - Supuestos del modelo (miles de USD)</t>
  </si>
  <si>
    <t xml:space="preserve">Azul = dato ingresado; negro = fórmula; verde = vínculo a otra hoja; amarillo = supuesto clave que se puede cambiar.</t>
  </si>
  <si>
    <t xml:space="preserve">Crecimiento de ventas 2020</t>
  </si>
  <si>
    <t xml:space="preserve">Caso p.2: Roger espera un crecimiento récord de 30% en 2020.</t>
  </si>
  <si>
    <t xml:space="preserve">Capex 2020</t>
  </si>
  <si>
    <t xml:space="preserve">Caso p.2: Christine espera capex de USD 75 mil (incluye la compra de 12 acres).</t>
  </si>
  <si>
    <t xml:space="preserve">Depreciación 2020</t>
  </si>
  <si>
    <t xml:space="preserve">Caso p.2: depreciación esperada 2020 USD 46 mil.</t>
  </si>
  <si>
    <t xml:space="preserve">Tasa de interés de la deuda</t>
  </si>
  <si>
    <t xml:space="preserve">Caso p.2: tasa hipotecaria vigente 6,5%. Se usa como costo de la deuda nueva.</t>
  </si>
  <si>
    <t xml:space="preserve">Caja objetivo (% de ventas)</t>
  </si>
  <si>
    <t xml:space="preserve">Caso p.2: meta operativa de Christine = 8% de las ventas.</t>
  </si>
  <si>
    <t xml:space="preserve">Caja mínima alternativa (% ventas, nivel 2019)</t>
  </si>
  <si>
    <t xml:space="preserve">Caja 2019 / ventas 2019 (0,9%): escenario sin reponer la caja.</t>
  </si>
  <si>
    <t xml:space="preserve">Tasa efectiva de impuestos (2019)</t>
  </si>
  <si>
    <t xml:space="preserve">Impuestos 2019 / utilidad operativa 2019.</t>
  </si>
  <si>
    <t xml:space="preserve">Salario anual de los dueños (en SG&amp;A)</t>
  </si>
  <si>
    <t xml:space="preserve">Caso p.2: los Barton retiran USD 50 mil al año como salario, registrado en SG&amp;A.</t>
  </si>
  <si>
    <t xml:space="preserve">Descuento por pronto pago proveedores</t>
  </si>
  <si>
    <t xml:space="preserve">Caso p.2: 2% si se paga dentro de 10 días.</t>
  </si>
  <si>
    <t xml:space="preserve">Días para obtener el descuento</t>
  </si>
  <si>
    <t xml:space="preserve">Caso p.2: términos 2/10 neto 30.</t>
  </si>
  <si>
    <t xml:space="preserve">Plazo neto proveedores (días)</t>
  </si>
  <si>
    <t xml:space="preserve">Los escenarios de la hoja 'Proyeccion 2020' toman estos valores salvo cuando la celda del escenario está en azul con fondo amarillo (supuesto propio del escenario).</t>
  </si>
  <si>
    <t xml:space="preserve">Estados financieros históricos (miles de USD)</t>
  </si>
  <si>
    <t xml:space="preserve">Fuente: Nelson Nurseries (UVA-F-1944), Exhibit 1. Subtotales recalculados con fórmulas.</t>
  </si>
  <si>
    <t xml:space="preserve">2016</t>
  </si>
  <si>
    <t xml:space="preserve">2017</t>
  </si>
  <si>
    <t xml:space="preserve">2018</t>
  </si>
  <si>
    <t xml:space="preserve">2019</t>
  </si>
  <si>
    <t xml:space="preserve">Estado de resultados</t>
  </si>
  <si>
    <t xml:space="preserve">Costo de ventas</t>
  </si>
  <si>
    <t xml:space="preserve">Utilidad bruta</t>
  </si>
  <si>
    <t xml:space="preserve">Gastos de venta y administración (SG&amp;A)</t>
  </si>
  <si>
    <t xml:space="preserve">Depreciación</t>
  </si>
  <si>
    <t xml:space="preserve">Utilidad operativa (EBIT)</t>
  </si>
  <si>
    <t xml:space="preserve">Impuestos</t>
  </si>
  <si>
    <t xml:space="preserve">Balance general</t>
  </si>
  <si>
    <t xml:space="preserve">Caja</t>
  </si>
  <si>
    <t xml:space="preserve">Cuentas por cobrar</t>
  </si>
  <si>
    <t xml:space="preserve">Inventario</t>
  </si>
  <si>
    <t xml:space="preserve">Otros activos corrientes</t>
  </si>
  <si>
    <t xml:space="preserve">Activo corriente</t>
  </si>
  <si>
    <t xml:space="preserve">Activo fijo neto</t>
  </si>
  <si>
    <t xml:space="preserve">Activo total</t>
  </si>
  <si>
    <t xml:space="preserve">Cuentas por pagar (proveedores)</t>
  </si>
  <si>
    <t xml:space="preserve">Salarios por pagar</t>
  </si>
  <si>
    <t xml:space="preserve">Otras cuentas por pagar</t>
  </si>
  <si>
    <t xml:space="preserve">Pasivo corriente</t>
  </si>
  <si>
    <t xml:space="preserve">Patrimonio (net worth)</t>
  </si>
  <si>
    <t xml:space="preserve">Inversión en activo fijo (capex)</t>
  </si>
  <si>
    <t xml:space="preserve">Compras a proveedores</t>
  </si>
  <si>
    <t xml:space="preserve">Verificaciones (deben ser 0)</t>
  </si>
  <si>
    <t xml:space="preserve">Patrimonio - (patrimonio año anterior + utilidad neta)</t>
  </si>
  <si>
    <t xml:space="preserve">Activo fijo - (AF anterior + capex - depreciación)</t>
  </si>
  <si>
    <t xml:space="preserve">Ambas cuadran: no hubo dividendos ni aportes, y el activo fijo no tuvo ventas ni ajustes.</t>
  </si>
  <si>
    <t xml:space="preserve">Indicadores históricos vs. benchmark</t>
  </si>
  <si>
    <t xml:space="preserve">Calculados desde 'Historico'. Columnas H-K: valores publicados en el Exhibit 2; L-O: diferencia (solo redondeo).</t>
  </si>
  <si>
    <t xml:space="preserve">Publicado Exhibit 2</t>
  </si>
  <si>
    <t xml:space="preserve">Diferencia calculado - publicado</t>
  </si>
  <si>
    <t xml:space="preserve">Benchmark</t>
  </si>
  <si>
    <t xml:space="preserve">Crecimiento de ventas</t>
  </si>
  <si>
    <t xml:space="preserve">Margen bruto</t>
  </si>
  <si>
    <t xml:space="preserve">SG&amp;A / ventas</t>
  </si>
  <si>
    <t xml:space="preserve">Margen operativo</t>
  </si>
  <si>
    <t xml:space="preserve">Tasa efectiva de impuestos</t>
  </si>
  <si>
    <t xml:space="preserve">ROA (utilidad neta / activo total)</t>
  </si>
  <si>
    <t xml:space="preserve">ROE (utilidad neta / patrimonio)</t>
  </si>
  <si>
    <t xml:space="preserve">Días de cartera (DSO)</t>
  </si>
  <si>
    <t xml:space="preserve">Días de inventario (DIO)</t>
  </si>
  <si>
    <t xml:space="preserve">Días de proveedores (DPO, sobre compras)</t>
  </si>
  <si>
    <t xml:space="preserve">Ciclo de conversión de caja (DSO+DIO-DPO)</t>
  </si>
  <si>
    <t xml:space="preserve">Rotación de activo fijo (ventas / AF neto)</t>
  </si>
  <si>
    <t xml:space="preserve">Rotación de activo total (ventas / activo total)</t>
  </si>
  <si>
    <t xml:space="preserve">Caja / ventas (meta 8%)</t>
  </si>
  <si>
    <t xml:space="preserve">Razón corriente</t>
  </si>
  <si>
    <t xml:space="preserve">Prueba ácida ((caja + CxC) / pasivo corriente)</t>
  </si>
  <si>
    <t xml:space="preserve">Capital de trabajo operativo (CxC+Inv+OAC-PC)</t>
  </si>
  <si>
    <t xml:space="preserve">Capital de trabajo operativo / ventas</t>
  </si>
  <si>
    <t xml:space="preserve">Crecimiento autosostenible 2020 (sin deuda ni aportes, ratios 2019)</t>
  </si>
  <si>
    <t xml:space="preserve">Activo total / ventas 2019</t>
  </si>
  <si>
    <t xml:space="preserve">Pasivo espontáneo / ventas 2019</t>
  </si>
  <si>
    <t xml:space="preserve">Margen neto 2019</t>
  </si>
  <si>
    <t xml:space="preserve">Crecimiento autosostenible = m / (A/V - P/V - m)</t>
  </si>
  <si>
    <t xml:space="preserve">Comprobación: ROE sobre patrimonio inicial 2019 (sin dividendos)</t>
  </si>
  <si>
    <t xml:space="preserve">Flujo de caja histórico, método indirecto (miles de USD)</t>
  </si>
  <si>
    <t xml:space="preserve">Explica por qué la caja cayó de 120,1 a 9,4 pese a utilidades crecientes.</t>
  </si>
  <si>
    <t xml:space="preserve">Total 17-19</t>
  </si>
  <si>
    <t xml:space="preserve">+ Depreciación</t>
  </si>
  <si>
    <t xml:space="preserve">- Aumento cuentas por cobrar</t>
  </si>
  <si>
    <t xml:space="preserve">- Aumento inventario</t>
  </si>
  <si>
    <t xml:space="preserve">- Aumento otros activos corrientes</t>
  </si>
  <si>
    <t xml:space="preserve">+ Aumento pasivo corriente</t>
  </si>
  <si>
    <t xml:space="preserve">Flujo de caja operativo</t>
  </si>
  <si>
    <t xml:space="preserve">- Capex</t>
  </si>
  <si>
    <t xml:space="preserve">Flujo de caja libre</t>
  </si>
  <si>
    <t xml:space="preserve">Variación de caja según balance</t>
  </si>
  <si>
    <t xml:space="preserve">Diferencia (debe ser 0)</t>
  </si>
  <si>
    <t xml:space="preserve">Uso del flujo operativo antes de cambios en capital de trabajo (utilidad + depreciación)</t>
  </si>
  <si>
    <t xml:space="preserve">Utilidad + depreciación (2017-2019)</t>
  </si>
  <si>
    <t xml:space="preserve">Absorbido por inventario</t>
  </si>
  <si>
    <t xml:space="preserve">Absorbido por cuentas por cobrar</t>
  </si>
  <si>
    <t xml:space="preserve">Inventario + cartera como % de utilidad + depreciación</t>
  </si>
  <si>
    <t xml:space="preserve">Proyección 2020 por escenario (miles de USD)</t>
  </si>
  <si>
    <t xml:space="preserve">Base = se mantienen los ratios de 2019 y se crece 30%. La deuda paga 6,5% sobre el saldo de cierre; se resuelve en forma cerrada (fila 57) para evitar referencias circulares.</t>
  </si>
  <si>
    <t xml:space="preserve">Supuestos de cada escenario (azul con fondo amarillo = distinto de la base)</t>
  </si>
  <si>
    <t xml:space="preserve">Base: ratios 2019</t>
  </si>
  <si>
    <t xml:space="preserve">Base sin reponer caja (0,9%)</t>
  </si>
  <si>
    <t xml:space="preserve">Medida: cobranza DSO 45</t>
  </si>
  <si>
    <t xml:space="preserve">Medida: inventario DIO 450</t>
  </si>
  <si>
    <t xml:space="preserve">Base con salario dueños fijo</t>
  </si>
  <si>
    <t xml:space="preserve">Plan combinado (DSO 45 + DIO 450)</t>
  </si>
  <si>
    <t xml:space="preserve">Plan recomendado: combinado + caja 3% con línea comprometida</t>
  </si>
  <si>
    <t xml:space="preserve">Riesgo: alza salario H2A (+2 pp costo)</t>
  </si>
  <si>
    <t xml:space="preserve">Riesgo: ventas +15%, inventario para +30%</t>
  </si>
  <si>
    <t xml:space="preserve">Supuestos</t>
  </si>
  <si>
    <t xml:space="preserve">Crecimiento para el que se arma inventario y compras</t>
  </si>
  <si>
    <t xml:space="preserve">Días de inventario (DIO, sobre costo de ventas)</t>
  </si>
  <si>
    <t xml:space="preserve">Cambio en costo de ventas / ventas (pp)</t>
  </si>
  <si>
    <t xml:space="preserve">Parte fija del SG&amp;A</t>
  </si>
  <si>
    <t xml:space="preserve">Caja objetivo (% ventas)</t>
  </si>
  <si>
    <t xml:space="preserve">Capex</t>
  </si>
  <si>
    <t xml:space="preserve">Tasa de interés deuda nueva</t>
  </si>
  <si>
    <t xml:space="preserve">Tasa de impuestos</t>
  </si>
  <si>
    <t xml:space="preserve">Estado de resultados 2020</t>
  </si>
  <si>
    <t xml:space="preserve">SG&amp;A</t>
  </si>
  <si>
    <t xml:space="preserve">Intereses</t>
  </si>
  <si>
    <t xml:space="preserve">Utilidad antes de impuestos</t>
  </si>
  <si>
    <t xml:space="preserve">Balance 2020</t>
  </si>
  <si>
    <t xml:space="preserve">Caja objetivo</t>
  </si>
  <si>
    <t xml:space="preserve">Excedente de caja</t>
  </si>
  <si>
    <t xml:space="preserve">Caja total</t>
  </si>
  <si>
    <t xml:space="preserve">Cuentas por pagar</t>
  </si>
  <si>
    <t xml:space="preserve">Deuda bancaria requerida</t>
  </si>
  <si>
    <t xml:space="preserve">Patrimonio</t>
  </si>
  <si>
    <t xml:space="preserve">Pasivo + patrimonio</t>
  </si>
  <si>
    <t xml:space="preserve">Cuadre (debe ser 0)</t>
  </si>
  <si>
    <t xml:space="preserve">Necesidad de financiamiento externo</t>
  </si>
  <si>
    <t xml:space="preserve">Activos requeridos (con caja objetivo)</t>
  </si>
  <si>
    <t xml:space="preserve">(-) Pasivo espontáneo</t>
  </si>
  <si>
    <t xml:space="preserve">(-) Patrimonio 2019 + utilidad antes de intereses</t>
  </si>
  <si>
    <t xml:space="preserve">Necesidad antes de intereses</t>
  </si>
  <si>
    <t xml:space="preserve">Necesidad incluyendo intereses (negativo = excedente)</t>
  </si>
  <si>
    <t xml:space="preserve">Flujo de caja 2020</t>
  </si>
  <si>
    <t xml:space="preserve">- Aumento capital de trabajo operativo</t>
  </si>
  <si>
    <t xml:space="preserve">Indicadores 2020</t>
  </si>
  <si>
    <t xml:space="preserve">ROA</t>
  </si>
  <si>
    <t xml:space="preserve">DSO</t>
  </si>
  <si>
    <t xml:space="preserve">DIO</t>
  </si>
  <si>
    <t xml:space="preserve">DPO</t>
  </si>
  <si>
    <t xml:space="preserve">Ciclo de conversión de caja</t>
  </si>
  <si>
    <t xml:space="preserve">Rotación activo fijo</t>
  </si>
  <si>
    <t xml:space="preserve">Caja / ventas</t>
  </si>
  <si>
    <t xml:space="preserve">Razón corriente (incluye deuda)</t>
  </si>
  <si>
    <t xml:space="preserve">Deuda / patrimonio</t>
  </si>
  <si>
    <t xml:space="preserve">Cobertura de intereses (EBIT/int.)</t>
  </si>
  <si>
    <t xml:space="preserve">Deuda / EBITDA</t>
  </si>
  <si>
    <t xml:space="preserve">Sensibilidad de la necesidad de financiamiento al crecimiento (miles de USD)</t>
  </si>
  <si>
    <t xml:space="preserve">Ratios de 2019. Columnas B-I: reponiendo la caja a 8% de ventas; J-Q: manteniendo la caja en 0,9% de ventas.</t>
  </si>
  <si>
    <t xml:space="preserve">Crec. 0%
caja 8%</t>
  </si>
  <si>
    <t xml:space="preserve">Crec. 5%
caja 8%</t>
  </si>
  <si>
    <t xml:space="preserve">Crec. 10%
caja 8%</t>
  </si>
  <si>
    <t xml:space="preserve">Crec. 15%
caja 8%</t>
  </si>
  <si>
    <t xml:space="preserve">Crec. 20%
caja 8%</t>
  </si>
  <si>
    <t xml:space="preserve">Crec. 25%
caja 8%</t>
  </si>
  <si>
    <t xml:space="preserve">Crec. 30%
caja 8%</t>
  </si>
  <si>
    <t xml:space="preserve">Crec. 35%
caja 8%</t>
  </si>
  <si>
    <t xml:space="preserve">Crec. 0%
caja 0,9%</t>
  </si>
  <si>
    <t xml:space="preserve">Crec. 5%
caja 0,9%</t>
  </si>
  <si>
    <t xml:space="preserve">Crec. 10%
caja 0,9%</t>
  </si>
  <si>
    <t xml:space="preserve">Crec. 15%
caja 0,9%</t>
  </si>
  <si>
    <t xml:space="preserve">Crec. 20%
caja 0,9%</t>
  </si>
  <si>
    <t xml:space="preserve">Crec. 25%
caja 0,9%</t>
  </si>
  <si>
    <t xml:space="preserve">Crec. 30%
caja 0,9%</t>
  </si>
  <si>
    <t xml:space="preserve">Crec. 35%
caja 0,9%</t>
  </si>
  <si>
    <t xml:space="preserve">¿Conviene dejar de tomar el descuento 2/10 neto 30?</t>
  </si>
  <si>
    <t xml:space="preserve">Compara el costo implícito de financiarse con proveedores contra la tasa bancaria.</t>
  </si>
  <si>
    <t xml:space="preserve">Descuento</t>
  </si>
  <si>
    <t xml:space="preserve">Días para obtener descuento</t>
  </si>
  <si>
    <t xml:space="preserve">Plazo neto</t>
  </si>
  <si>
    <t xml:space="preserve">Costo anual simple de no tomar el descuento</t>
  </si>
  <si>
    <t xml:space="preserve">Costo anual efectivo (compuesto)</t>
  </si>
  <si>
    <t xml:space="preserve">Tasa de la deuda bancaria / hipotecaria</t>
  </si>
  <si>
    <t xml:space="preserve">Compras 2020 (escenario base)</t>
  </si>
  <si>
    <t xml:space="preserve">Ahorro anual por tomar el descuento</t>
  </si>
  <si>
    <t xml:space="preserve">Financiamiento adicional si se paga al día 30</t>
  </si>
  <si>
    <t xml:space="preserve">Costo de esa misma suma con deuda bancaria</t>
  </si>
  <si>
    <t xml:space="preserve">Conclusión: seguir tomando el descuento (pagar el día 10, no antes). Dejar de tomarlo liberaría poca caja a un costo implícito de ~37% anual, muy superior a la deuda bancaria.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</si>
</sst>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;\(#,##0.0\);\-"/>
    <numFmt numFmtId="166" formatCode="0.0%;\(0.0%\);\-"/>
    <numFmt numFmtId="167" formatCode="0.00\x"/>
    <numFmt numFmtId="168" formatCode="0"/>
    <numFmt numFmtId="169" formatCode="0.00%"/>
    <numFmt numFmtId="170" formatCode="0.0"/>
    <numFmt numFmtId="171" formatCode="0.0000"/>
    <numFmt numFmtId="172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6E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false" outlineLevel="0" collapsed="false">
      <c r="A5" s="5" t="str">
        <f aca="false">'Proyeccion 2020'!B4</f>
        <v>Base: ratios 2019</v>
      </c>
      <c r="B5" s="6" t="n">
        <f aca="false">'Proyeccion 2020'!B20</f>
        <v>1363.44</v>
      </c>
      <c r="C5" s="6" t="n">
        <f aca="false">'Proyeccion 2020'!B29</f>
        <v>71.9465160086624</v>
      </c>
      <c r="D5" s="7" t="n">
        <f aca="false">'Proyeccion 2020'!B71</f>
        <v>0.052768377052648</v>
      </c>
      <c r="E5" s="7" t="n">
        <f aca="false">'Proyeccion 2020'!B73</f>
        <v>0.0596498974658114</v>
      </c>
      <c r="F5" s="6" t="n">
        <f aca="false">'Proyeccion 2020'!B65</f>
        <v>-190.123483991338</v>
      </c>
      <c r="G5" s="6" t="n">
        <f aca="false">'Proyeccion 2020'!B47</f>
        <v>289.798683991337</v>
      </c>
      <c r="H5" s="8" t="n">
        <f aca="false">'Proyeccion 2020'!B81</f>
        <v>0.240268226243632</v>
      </c>
      <c r="I5" s="8" t="n">
        <f aca="false">'Proyeccion 2020'!B82</f>
        <v>7.28197817616996</v>
      </c>
    </row>
    <row r="6" customFormat="false" ht="15" hidden="false" customHeight="false" outlineLevel="0" collapsed="false">
      <c r="A6" s="5" t="str">
        <f aca="false">'Proyeccion 2020'!C4</f>
        <v>Base sin reponer caja (0,9%)</v>
      </c>
      <c r="B6" s="6" t="n">
        <f aca="false">'Proyeccion 2020'!C20</f>
        <v>1363.44</v>
      </c>
      <c r="C6" s="6" t="n">
        <f aca="false">'Proyeccion 2020'!C29</f>
        <v>75.9317291354323</v>
      </c>
      <c r="D6" s="7" t="n">
        <f aca="false">'Proyeccion 2020'!C71</f>
        <v>0.0556912875780616</v>
      </c>
      <c r="E6" s="7" t="n">
        <f aca="false">'Proyeccion 2020'!C73</f>
        <v>0.0627466641087752</v>
      </c>
      <c r="F6" s="6" t="n">
        <f aca="false">'Proyeccion 2020'!C65</f>
        <v>-186.138270864568</v>
      </c>
      <c r="G6" s="6" t="n">
        <f aca="false">'Proyeccion 2020'!C47</f>
        <v>188.958270864567</v>
      </c>
      <c r="H6" s="8" t="n">
        <f aca="false">'Proyeccion 2020'!C81</f>
        <v>0.156146860969894</v>
      </c>
      <c r="I6" s="8" t="n">
        <f aca="false">'Proyeccion 2020'!C82</f>
        <v>11.1681149634367</v>
      </c>
    </row>
    <row r="7" customFormat="false" ht="15" hidden="false" customHeight="false" outlineLevel="0" collapsed="false">
      <c r="A7" s="5" t="str">
        <f aca="false">'Proyeccion 2020'!D4</f>
        <v>Medida: cobranza DSO 45</v>
      </c>
      <c r="B7" s="6" t="n">
        <f aca="false">'Proyeccion 2020'!D20</f>
        <v>1363.44</v>
      </c>
      <c r="C7" s="6" t="n">
        <f aca="false">'Proyeccion 2020'!D29</f>
        <v>72.8609738482357</v>
      </c>
      <c r="D7" s="7" t="n">
        <f aca="false">'Proyeccion 2020'!D71</f>
        <v>0.0534390760489906</v>
      </c>
      <c r="E7" s="7" t="n">
        <f aca="false">'Proyeccion 2020'!D73</f>
        <v>0.0603622977022837</v>
      </c>
      <c r="F7" s="6" t="n">
        <f aca="false">'Proyeccion 2020'!D65</f>
        <v>-166.984368617518</v>
      </c>
      <c r="G7" s="6" t="n">
        <f aca="false">'Proyeccion 2020'!D47</f>
        <v>266.659568617518</v>
      </c>
      <c r="H7" s="8" t="n">
        <f aca="false">'Proyeccion 2020'!D81</f>
        <v>0.220916403060716</v>
      </c>
      <c r="I7" s="8" t="n">
        <f aca="false">'Proyeccion 2020'!D82</f>
        <v>7.91386449490064</v>
      </c>
    </row>
    <row r="8" customFormat="false" ht="15" hidden="false" customHeight="false" outlineLevel="0" collapsed="false">
      <c r="A8" s="5" t="str">
        <f aca="false">'Proyeccion 2020'!E4</f>
        <v>Medida: inventario DIO 450</v>
      </c>
      <c r="B8" s="6" t="n">
        <f aca="false">'Proyeccion 2020'!E20</f>
        <v>1363.44</v>
      </c>
      <c r="C8" s="6" t="n">
        <f aca="false">'Proyeccion 2020'!E29</f>
        <v>73.8865881415457</v>
      </c>
      <c r="D8" s="7" t="n">
        <f aca="false">'Proyeccion 2020'!E71</f>
        <v>0.0541913015178854</v>
      </c>
      <c r="E8" s="7" t="n">
        <f aca="false">'Proyeccion 2020'!E73</f>
        <v>0.061160010273112</v>
      </c>
      <c r="F8" s="6" t="n">
        <f aca="false">'Proyeccion 2020'!E65</f>
        <v>-141.032589940646</v>
      </c>
      <c r="G8" s="6" t="n">
        <f aca="false">'Proyeccion 2020'!E47</f>
        <v>240.707789940646</v>
      </c>
      <c r="H8" s="8" t="n">
        <f aca="false">'Proyeccion 2020'!E81</f>
        <v>0.199247133693403</v>
      </c>
      <c r="I8" s="8" t="n">
        <f aca="false">'Proyeccion 2020'!E82</f>
        <v>8.76709346560016</v>
      </c>
    </row>
    <row r="9" customFormat="false" ht="15" hidden="false" customHeight="false" outlineLevel="0" collapsed="false">
      <c r="A9" s="5" t="str">
        <f aca="false">'Proyeccion 2020'!F4</f>
        <v>Base con salario dueños fijo</v>
      </c>
      <c r="B9" s="6" t="n">
        <f aca="false">'Proyeccion 2020'!F20</f>
        <v>1363.44</v>
      </c>
      <c r="C9" s="6" t="n">
        <f aca="false">'Proyeccion 2020'!F29</f>
        <v>81.4417683824754</v>
      </c>
      <c r="D9" s="7" t="n">
        <f aca="false">'Proyeccion 2020'!F71</f>
        <v>0.0597325649698376</v>
      </c>
      <c r="E9" s="7" t="n">
        <f aca="false">'Proyeccion 2020'!F73</f>
        <v>0.0669948750533978</v>
      </c>
      <c r="F9" s="6" t="n">
        <f aca="false">'Proyeccion 2020'!F65</f>
        <v>-180.628231617525</v>
      </c>
      <c r="G9" s="6" t="n">
        <f aca="false">'Proyeccion 2020'!F47</f>
        <v>280.303431617524</v>
      </c>
      <c r="H9" s="8" t="n">
        <f aca="false">'Proyeccion 2020'!F81</f>
        <v>0.230580619149418</v>
      </c>
      <c r="I9" s="8" t="n">
        <f aca="false">'Proyeccion 2020'!F82</f>
        <v>8.35193814634184</v>
      </c>
    </row>
    <row r="10" customFormat="false" ht="15" hidden="false" customHeight="false" outlineLevel="0" collapsed="false">
      <c r="A10" s="5" t="str">
        <f aca="false">'Proyeccion 2020'!G4</f>
        <v>Plan combinado (DSO 45 + DIO 450)</v>
      </c>
      <c r="B10" s="6" t="n">
        <f aca="false">'Proyeccion 2020'!G20</f>
        <v>1363.44</v>
      </c>
      <c r="C10" s="6" t="n">
        <f aca="false">'Proyeccion 2020'!G29</f>
        <v>74.8010459811191</v>
      </c>
      <c r="D10" s="7" t="n">
        <f aca="false">'Proyeccion 2020'!G71</f>
        <v>0.054862000514228</v>
      </c>
      <c r="E10" s="7" t="n">
        <f aca="false">'Proyeccion 2020'!G73</f>
        <v>0.0618701251167381</v>
      </c>
      <c r="F10" s="6" t="n">
        <f aca="false">'Proyeccion 2020'!G65</f>
        <v>-117.893474566826</v>
      </c>
      <c r="G10" s="6" t="n">
        <f aca="false">'Proyeccion 2020'!G47</f>
        <v>217.568674566826</v>
      </c>
      <c r="H10" s="8" t="n">
        <f aca="false">'Proyeccion 2020'!G81</f>
        <v>0.17995739150934</v>
      </c>
      <c r="I10" s="8" t="n">
        <f aca="false">'Proyeccion 2020'!G82</f>
        <v>9.69950153214503</v>
      </c>
    </row>
    <row r="11" customFormat="false" ht="15" hidden="false" customHeight="false" outlineLevel="0" collapsed="false">
      <c r="A11" s="5" t="str">
        <f aca="false">'Proyeccion 2020'!H4</f>
        <v>Plan recomendado: combinado + caja 3% con línea comprometida</v>
      </c>
      <c r="B11" s="6" t="n">
        <f aca="false">'Proyeccion 2020'!H20</f>
        <v>1363.44</v>
      </c>
      <c r="C11" s="6" t="n">
        <f aca="false">'Proyeccion 2020'!H29</f>
        <v>77.6060574753719</v>
      </c>
      <c r="D11" s="7" t="n">
        <f aca="false">'Proyeccion 2020'!H71</f>
        <v>0.0569193051952209</v>
      </c>
      <c r="E11" s="7" t="n">
        <f aca="false">'Proyeccion 2020'!H73</f>
        <v>0.0640416484111767</v>
      </c>
      <c r="F11" s="6" t="n">
        <f aca="false">'Proyeccion 2020'!H65</f>
        <v>-115.088463072573</v>
      </c>
      <c r="G11" s="6" t="n">
        <f aca="false">'Proyeccion 2020'!H47</f>
        <v>146.591663072573</v>
      </c>
      <c r="H11" s="8" t="n">
        <f aca="false">'Proyeccion 2020'!H81</f>
        <v>0.120969574436669</v>
      </c>
      <c r="I11" s="8" t="n">
        <f aca="false">'Proyeccion 2020'!H82</f>
        <v>14.3958233918319</v>
      </c>
    </row>
    <row r="12" customFormat="false" ht="15" hidden="false" customHeight="false" outlineLevel="0" collapsed="false">
      <c r="A12" s="5" t="str">
        <f aca="false">'Proyeccion 2020'!I4</f>
        <v>Riesgo: alza salario H2A (+2 pp costo)</v>
      </c>
      <c r="B12" s="6" t="n">
        <f aca="false">'Proyeccion 2020'!I20</f>
        <v>1363.44</v>
      </c>
      <c r="C12" s="6" t="n">
        <f aca="false">'Proyeccion 2020'!I29</f>
        <v>53.2207732808208</v>
      </c>
      <c r="D12" s="7" t="n">
        <f aca="false">'Proyeccion 2020'!I71</f>
        <v>0.0390341879956733</v>
      </c>
      <c r="E12" s="7" t="n">
        <f aca="false">'Proyeccion 2020'!I73</f>
        <v>0.0448204835879474</v>
      </c>
      <c r="F12" s="6" t="n">
        <f aca="false">'Proyeccion 2020'!I65</f>
        <v>-244.433006456962</v>
      </c>
      <c r="G12" s="6" t="n">
        <f aca="false">'Proyeccion 2020'!I47</f>
        <v>344.108206456963</v>
      </c>
      <c r="H12" s="8" t="n">
        <f aca="false">'Proyeccion 2020'!I81</f>
        <v>0.289794666052707</v>
      </c>
      <c r="I12" s="8" t="n">
        <f aca="false">'Proyeccion 2020'!I82</f>
        <v>4.91353493052819</v>
      </c>
    </row>
    <row r="13" customFormat="false" ht="15" hidden="false" customHeight="false" outlineLevel="0" collapsed="false">
      <c r="A13" s="5" t="str">
        <f aca="false">'Proyeccion 2020'!J4</f>
        <v>Riesgo: ventas +15%, inventario para +30%</v>
      </c>
      <c r="B13" s="6" t="n">
        <f aca="false">'Proyeccion 2020'!J20</f>
        <v>1206.12</v>
      </c>
      <c r="C13" s="6" t="n">
        <f aca="false">'Proyeccion 2020'!J29</f>
        <v>59.857042945194</v>
      </c>
      <c r="D13" s="7" t="n">
        <f aca="false">'Proyeccion 2020'!J71</f>
        <v>0.0496277675067108</v>
      </c>
      <c r="E13" s="7" t="n">
        <f aca="false">'Proyeccion 2020'!J73</f>
        <v>0.0501291318524901</v>
      </c>
      <c r="F13" s="6" t="n">
        <f aca="false">'Proyeccion 2020'!J65</f>
        <v>-183.462957054806</v>
      </c>
      <c r="G13" s="6" t="n">
        <f aca="false">'Proyeccion 2020'!J47</f>
        <v>270.552557054806</v>
      </c>
      <c r="H13" s="8" t="n">
        <f aca="false">'Proyeccion 2020'!J81</f>
        <v>0.226582606461979</v>
      </c>
      <c r="I13" s="8" t="n">
        <f aca="false">'Proyeccion 2020'!J82</f>
        <v>6.59817769082193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9" t="s">
        <v>12</v>
      </c>
      <c r="B16" s="7" t="n">
        <f aca="false">Indicadores!E30</f>
        <v>0.0566424445686603</v>
      </c>
    </row>
    <row r="17" customFormat="false" ht="15" hidden="false" customHeight="false" outlineLevel="0" collapsed="false">
      <c r="A17" s="9" t="s">
        <v>13</v>
      </c>
      <c r="B17" s="6" t="n">
        <f aca="false">'Flujo de caja'!F13</f>
        <v>-110.7</v>
      </c>
    </row>
    <row r="18" customFormat="false" ht="15" hidden="false" customHeight="false" outlineLevel="0" collapsed="false">
      <c r="A18" s="9" t="s">
        <v>14</v>
      </c>
      <c r="B18" s="6" t="n">
        <f aca="false">'Flujo de caja'!F5</f>
        <v>138.1</v>
      </c>
    </row>
    <row r="19" customFormat="false" ht="15" hidden="false" customHeight="false" outlineLevel="0" collapsed="false">
      <c r="A19" s="9" t="s">
        <v>15</v>
      </c>
      <c r="B19" s="7" t="n">
        <f aca="false">'Descuento proveedores'!B7</f>
        <v>0.372448979591837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90"/>
  </cols>
  <sheetData>
    <row r="1" customFormat="false" ht="16.1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4" customFormat="false" ht="15" hidden="false" customHeight="false" outlineLevel="0" collapsed="false">
      <c r="A4" s="9" t="s">
        <v>18</v>
      </c>
      <c r="B4" s="10" t="n">
        <v>0.3</v>
      </c>
      <c r="C4" s="2" t="s">
        <v>19</v>
      </c>
    </row>
    <row r="5" customFormat="false" ht="15" hidden="false" customHeight="false" outlineLevel="0" collapsed="false">
      <c r="A5" s="9" t="s">
        <v>20</v>
      </c>
      <c r="B5" s="11" t="n">
        <v>75</v>
      </c>
      <c r="C5" s="2" t="s">
        <v>21</v>
      </c>
    </row>
    <row r="6" customFormat="false" ht="15" hidden="false" customHeight="false" outlineLevel="0" collapsed="false">
      <c r="A6" s="9" t="s">
        <v>22</v>
      </c>
      <c r="B6" s="11" t="n">
        <v>46</v>
      </c>
      <c r="C6" s="2" t="s">
        <v>23</v>
      </c>
    </row>
    <row r="7" customFormat="false" ht="15" hidden="false" customHeight="false" outlineLevel="0" collapsed="false">
      <c r="A7" s="9" t="s">
        <v>24</v>
      </c>
      <c r="B7" s="10" t="n">
        <v>0.065</v>
      </c>
      <c r="C7" s="2" t="s">
        <v>25</v>
      </c>
    </row>
    <row r="8" customFormat="false" ht="15" hidden="false" customHeight="false" outlineLevel="0" collapsed="false">
      <c r="A8" s="9" t="s">
        <v>26</v>
      </c>
      <c r="B8" s="10" t="n">
        <v>0.08</v>
      </c>
      <c r="C8" s="2" t="s">
        <v>27</v>
      </c>
    </row>
    <row r="9" customFormat="false" ht="15" hidden="false" customHeight="false" outlineLevel="0" collapsed="false">
      <c r="A9" s="9" t="s">
        <v>28</v>
      </c>
      <c r="B9" s="7" t="n">
        <f aca="false">Historico!E18/Historico!E8</f>
        <v>0.0089626239511823</v>
      </c>
      <c r="C9" s="2" t="s">
        <v>29</v>
      </c>
    </row>
    <row r="10" customFormat="false" ht="15" hidden="false" customHeight="false" outlineLevel="0" collapsed="false">
      <c r="A10" s="9" t="s">
        <v>30</v>
      </c>
      <c r="B10" s="7" t="n">
        <f aca="false">Historico!E14/Historico!E13</f>
        <v>0.392</v>
      </c>
      <c r="C10" s="2" t="s">
        <v>31</v>
      </c>
    </row>
    <row r="11" customFormat="false" ht="15" hidden="false" customHeight="false" outlineLevel="0" collapsed="false">
      <c r="A11" s="9" t="s">
        <v>32</v>
      </c>
      <c r="B11" s="11" t="n">
        <v>50</v>
      </c>
      <c r="C11" s="2" t="s">
        <v>33</v>
      </c>
    </row>
    <row r="12" customFormat="false" ht="15" hidden="false" customHeight="false" outlineLevel="0" collapsed="false">
      <c r="A12" s="9" t="s">
        <v>34</v>
      </c>
      <c r="B12" s="12" t="n">
        <v>0.02</v>
      </c>
      <c r="C12" s="2" t="s">
        <v>35</v>
      </c>
    </row>
    <row r="13" customFormat="false" ht="15" hidden="false" customHeight="false" outlineLevel="0" collapsed="false">
      <c r="A13" s="9" t="s">
        <v>36</v>
      </c>
      <c r="B13" s="13" t="n">
        <v>10</v>
      </c>
      <c r="C13" s="2" t="s">
        <v>37</v>
      </c>
    </row>
    <row r="14" customFormat="false" ht="15" hidden="false" customHeight="false" outlineLevel="0" collapsed="false">
      <c r="A14" s="9" t="s">
        <v>38</v>
      </c>
      <c r="B14" s="13" t="n">
        <v>30</v>
      </c>
      <c r="C14" s="2" t="s">
        <v>37</v>
      </c>
    </row>
    <row r="16" customFormat="false" ht="15" hidden="false" customHeight="false" outlineLevel="0" collapsed="false">
      <c r="A16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1"/>
  </cols>
  <sheetData>
    <row r="1" customFormat="false" ht="16.1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6" customFormat="false" ht="15" hidden="false" customHeight="false" outlineLevel="0" collapsed="false">
      <c r="B6" s="14" t="s">
        <v>42</v>
      </c>
      <c r="C6" s="14" t="s">
        <v>43</v>
      </c>
      <c r="D6" s="14" t="s">
        <v>44</v>
      </c>
      <c r="E6" s="14" t="s">
        <v>45</v>
      </c>
    </row>
    <row r="7" customFormat="false" ht="15" hidden="false" customHeight="false" outlineLevel="0" collapsed="false">
      <c r="A7" s="3" t="s">
        <v>46</v>
      </c>
    </row>
    <row r="8" customFormat="false" ht="15" hidden="false" customHeight="false" outlineLevel="0" collapsed="false">
      <c r="A8" s="9" t="s">
        <v>3</v>
      </c>
      <c r="B8" s="11" t="n">
        <v>788.5</v>
      </c>
      <c r="C8" s="11" t="n">
        <v>807.6</v>
      </c>
      <c r="D8" s="11" t="n">
        <v>908.2</v>
      </c>
      <c r="E8" s="11" t="n">
        <v>1048.8</v>
      </c>
    </row>
    <row r="9" customFormat="false" ht="15" hidden="false" customHeight="false" outlineLevel="0" collapsed="false">
      <c r="A9" s="9" t="s">
        <v>47</v>
      </c>
      <c r="B9" s="11" t="n">
        <v>402.9</v>
      </c>
      <c r="C9" s="11" t="n">
        <v>428.8</v>
      </c>
      <c r="D9" s="11" t="n">
        <v>437.7</v>
      </c>
      <c r="E9" s="11" t="n">
        <v>503.4</v>
      </c>
    </row>
    <row r="10" customFormat="false" ht="15" hidden="false" customHeight="false" outlineLevel="0" collapsed="false">
      <c r="A10" s="9" t="s">
        <v>48</v>
      </c>
      <c r="B10" s="15" t="n">
        <f aca="false">B8-B9</f>
        <v>385.6</v>
      </c>
      <c r="C10" s="15" t="n">
        <f aca="false">C8-C9</f>
        <v>378.8</v>
      </c>
      <c r="D10" s="15" t="n">
        <f aca="false">D8-D9</f>
        <v>470.5</v>
      </c>
      <c r="E10" s="15" t="n">
        <f aca="false">E8-E9</f>
        <v>545.4</v>
      </c>
    </row>
    <row r="11" customFormat="false" ht="15" hidden="false" customHeight="false" outlineLevel="0" collapsed="false">
      <c r="A11" s="9" t="s">
        <v>49</v>
      </c>
      <c r="B11" s="11" t="n">
        <v>301.2</v>
      </c>
      <c r="C11" s="11" t="n">
        <v>302</v>
      </c>
      <c r="D11" s="11" t="n">
        <v>356</v>
      </c>
      <c r="E11" s="11" t="n">
        <v>404.5</v>
      </c>
    </row>
    <row r="12" customFormat="false" ht="15" hidden="false" customHeight="false" outlineLevel="0" collapsed="false">
      <c r="A12" s="9" t="s">
        <v>50</v>
      </c>
      <c r="B12" s="11" t="n">
        <v>34.2</v>
      </c>
      <c r="C12" s="11" t="n">
        <v>38.4</v>
      </c>
      <c r="D12" s="11" t="n">
        <v>36.3</v>
      </c>
      <c r="E12" s="11" t="n">
        <v>40.9</v>
      </c>
    </row>
    <row r="13" customFormat="false" ht="15" hidden="false" customHeight="false" outlineLevel="0" collapsed="false">
      <c r="A13" s="9" t="s">
        <v>51</v>
      </c>
      <c r="B13" s="15" t="n">
        <f aca="false">B10-B11-B12</f>
        <v>50.2</v>
      </c>
      <c r="C13" s="15" t="n">
        <f aca="false">C10-C11-C12</f>
        <v>38.4</v>
      </c>
      <c r="D13" s="15" t="n">
        <f aca="false">D10-D11-D12</f>
        <v>78.2000000000001</v>
      </c>
      <c r="E13" s="15" t="n">
        <f aca="false">E10-E11-E12</f>
        <v>100</v>
      </c>
    </row>
    <row r="14" customFormat="false" ht="15" hidden="false" customHeight="false" outlineLevel="0" collapsed="false">
      <c r="A14" s="9" t="s">
        <v>52</v>
      </c>
      <c r="B14" s="11" t="n">
        <v>17.6</v>
      </c>
      <c r="C14" s="11" t="n">
        <v>13.1</v>
      </c>
      <c r="D14" s="11" t="n">
        <v>26.2</v>
      </c>
      <c r="E14" s="11" t="n">
        <v>39.2</v>
      </c>
    </row>
    <row r="15" customFormat="false" ht="15" hidden="false" customHeight="false" outlineLevel="0" collapsed="false">
      <c r="A15" s="9" t="s">
        <v>4</v>
      </c>
      <c r="B15" s="16" t="n">
        <f aca="false">B13-B14</f>
        <v>32.6</v>
      </c>
      <c r="C15" s="16" t="n">
        <f aca="false">C13-C14</f>
        <v>25.3</v>
      </c>
      <c r="D15" s="16" t="n">
        <f aca="false">D13-D14</f>
        <v>52.0000000000001</v>
      </c>
      <c r="E15" s="16" t="n">
        <f aca="false">E13-E14</f>
        <v>60.8</v>
      </c>
    </row>
    <row r="17" customFormat="false" ht="15" hidden="false" customHeight="false" outlineLevel="0" collapsed="false">
      <c r="A17" s="3" t="s">
        <v>53</v>
      </c>
    </row>
    <row r="18" customFormat="false" ht="15" hidden="false" customHeight="false" outlineLevel="0" collapsed="false">
      <c r="A18" s="9" t="s">
        <v>54</v>
      </c>
      <c r="B18" s="11" t="n">
        <v>120.1</v>
      </c>
      <c r="C18" s="11" t="n">
        <v>105.2</v>
      </c>
      <c r="D18" s="11" t="n">
        <v>66.8</v>
      </c>
      <c r="E18" s="11" t="n">
        <v>9.4</v>
      </c>
    </row>
    <row r="19" customFormat="false" ht="15" hidden="false" customHeight="false" outlineLevel="0" collapsed="false">
      <c r="A19" s="9" t="s">
        <v>55</v>
      </c>
      <c r="B19" s="11" t="n">
        <v>90.6</v>
      </c>
      <c r="C19" s="11" t="n">
        <v>99.5</v>
      </c>
      <c r="D19" s="11" t="n">
        <v>119.5</v>
      </c>
      <c r="E19" s="11" t="n">
        <v>146.4</v>
      </c>
    </row>
    <row r="20" customFormat="false" ht="15" hidden="false" customHeight="false" outlineLevel="0" collapsed="false">
      <c r="A20" s="9" t="s">
        <v>56</v>
      </c>
      <c r="B20" s="11" t="n">
        <v>468.3</v>
      </c>
      <c r="C20" s="11" t="n">
        <v>507.6</v>
      </c>
      <c r="D20" s="11" t="n">
        <v>523.4</v>
      </c>
      <c r="E20" s="11" t="n">
        <v>656.9</v>
      </c>
    </row>
    <row r="21" customFormat="false" ht="15" hidden="false" customHeight="false" outlineLevel="0" collapsed="false">
      <c r="A21" s="9" t="s">
        <v>57</v>
      </c>
      <c r="B21" s="11" t="n">
        <v>20.9</v>
      </c>
      <c r="C21" s="11" t="n">
        <v>19.3</v>
      </c>
      <c r="D21" s="11" t="n">
        <v>22.6</v>
      </c>
      <c r="E21" s="11" t="n">
        <v>20.9</v>
      </c>
    </row>
    <row r="22" customFormat="false" ht="15" hidden="false" customHeight="false" outlineLevel="0" collapsed="false">
      <c r="A22" s="9" t="s">
        <v>58</v>
      </c>
      <c r="B22" s="15" t="n">
        <f aca="false">SUM(B18:B21)</f>
        <v>699.9</v>
      </c>
      <c r="C22" s="15" t="n">
        <f aca="false">SUM(C18:C21)</f>
        <v>731.6</v>
      </c>
      <c r="D22" s="15" t="n">
        <f aca="false">SUM(D18:D21)</f>
        <v>732.3</v>
      </c>
      <c r="E22" s="15" t="n">
        <f aca="false">SUM(E18:E21)</f>
        <v>833.6</v>
      </c>
    </row>
    <row r="23" customFormat="false" ht="15" hidden="false" customHeight="false" outlineLevel="0" collapsed="false">
      <c r="A23" s="9" t="s">
        <v>59</v>
      </c>
      <c r="B23" s="11" t="n">
        <v>332.1</v>
      </c>
      <c r="C23" s="11" t="n">
        <v>332.5</v>
      </c>
      <c r="D23" s="11" t="n">
        <v>384.3</v>
      </c>
      <c r="E23" s="11" t="n">
        <v>347.9</v>
      </c>
    </row>
    <row r="24" customFormat="false" ht="15" hidden="false" customHeight="false" outlineLevel="0" collapsed="false">
      <c r="A24" s="9" t="s">
        <v>60</v>
      </c>
      <c r="B24" s="16" t="n">
        <f aca="false">B22+B23</f>
        <v>1032</v>
      </c>
      <c r="C24" s="16" t="n">
        <f aca="false">C22+C23</f>
        <v>1064.1</v>
      </c>
      <c r="D24" s="16" t="n">
        <f aca="false">D22+D23</f>
        <v>1116.6</v>
      </c>
      <c r="E24" s="16" t="n">
        <f aca="false">E22+E23</f>
        <v>1181.5</v>
      </c>
    </row>
    <row r="26" customFormat="false" ht="15" hidden="false" customHeight="false" outlineLevel="0" collapsed="false">
      <c r="A26" s="9" t="s">
        <v>61</v>
      </c>
      <c r="B26" s="11" t="n">
        <v>6</v>
      </c>
      <c r="C26" s="11" t="n">
        <v>5.3</v>
      </c>
      <c r="D26" s="11" t="n">
        <v>4.5</v>
      </c>
      <c r="E26" s="11" t="n">
        <v>5</v>
      </c>
    </row>
    <row r="27" customFormat="false" ht="15" hidden="false" customHeight="false" outlineLevel="0" collapsed="false">
      <c r="A27" s="9" t="s">
        <v>62</v>
      </c>
      <c r="B27" s="11" t="n">
        <v>19.7</v>
      </c>
      <c r="C27" s="11" t="n">
        <v>22</v>
      </c>
      <c r="D27" s="11" t="n">
        <v>22.1</v>
      </c>
      <c r="E27" s="11" t="n">
        <v>24.4</v>
      </c>
    </row>
    <row r="28" customFormat="false" ht="15" hidden="false" customHeight="false" outlineLevel="0" collapsed="false">
      <c r="A28" s="9" t="s">
        <v>63</v>
      </c>
      <c r="B28" s="11" t="n">
        <v>10.2</v>
      </c>
      <c r="C28" s="11" t="n">
        <v>15.4</v>
      </c>
      <c r="D28" s="11" t="n">
        <v>16.6</v>
      </c>
      <c r="E28" s="11" t="n">
        <v>17.9</v>
      </c>
    </row>
    <row r="29" customFormat="false" ht="15" hidden="false" customHeight="false" outlineLevel="0" collapsed="false">
      <c r="A29" s="9" t="s">
        <v>64</v>
      </c>
      <c r="B29" s="15" t="n">
        <f aca="false">SUM(B26:B28)</f>
        <v>35.9</v>
      </c>
      <c r="C29" s="15" t="n">
        <f aca="false">SUM(C26:C28)</f>
        <v>42.7</v>
      </c>
      <c r="D29" s="15" t="n">
        <f aca="false">SUM(D26:D28)</f>
        <v>43.2</v>
      </c>
      <c r="E29" s="15" t="n">
        <f aca="false">SUM(E26:E28)</f>
        <v>47.3</v>
      </c>
    </row>
    <row r="30" customFormat="false" ht="15" hidden="false" customHeight="false" outlineLevel="0" collapsed="false">
      <c r="A30" s="9" t="s">
        <v>65</v>
      </c>
      <c r="B30" s="16" t="n">
        <f aca="false">B24-B29</f>
        <v>996.1</v>
      </c>
      <c r="C30" s="16" t="n">
        <f aca="false">C24-C29</f>
        <v>1021.4</v>
      </c>
      <c r="D30" s="16" t="n">
        <f aca="false">D24-D29</f>
        <v>1073.4</v>
      </c>
      <c r="E30" s="16" t="n">
        <f aca="false">E24-E29</f>
        <v>1134.2</v>
      </c>
    </row>
    <row r="32" customFormat="false" ht="15" hidden="false" customHeight="false" outlineLevel="0" collapsed="false">
      <c r="A32" s="9" t="s">
        <v>66</v>
      </c>
      <c r="B32" s="11" t="n">
        <v>22</v>
      </c>
      <c r="C32" s="11" t="n">
        <v>38.8</v>
      </c>
      <c r="D32" s="11" t="n">
        <v>88.1</v>
      </c>
      <c r="E32" s="11" t="n">
        <v>4.5</v>
      </c>
    </row>
    <row r="33" customFormat="false" ht="15" hidden="false" customHeight="false" outlineLevel="0" collapsed="false">
      <c r="A33" s="9" t="s">
        <v>67</v>
      </c>
      <c r="B33" s="11" t="n">
        <v>140.8</v>
      </c>
      <c r="C33" s="11" t="n">
        <v>145.2</v>
      </c>
      <c r="D33" s="11" t="n">
        <v>161.2</v>
      </c>
      <c r="E33" s="11" t="n">
        <v>185.1</v>
      </c>
    </row>
    <row r="35" customFormat="false" ht="15" hidden="false" customHeight="false" outlineLevel="0" collapsed="false">
      <c r="A35" s="3" t="s">
        <v>68</v>
      </c>
    </row>
    <row r="36" customFormat="false" ht="15" hidden="false" customHeight="false" outlineLevel="0" collapsed="false">
      <c r="A36" s="9" t="s">
        <v>69</v>
      </c>
      <c r="C36" s="17" t="n">
        <f aca="false">ROUND(C30-(B30+C15),6)</f>
        <v>0</v>
      </c>
      <c r="D36" s="17" t="n">
        <f aca="false">ROUND(D30-(C30+D15),6)</f>
        <v>0</v>
      </c>
      <c r="E36" s="17" t="n">
        <f aca="false">ROUND(E30-(D30+E15),6)</f>
        <v>0</v>
      </c>
    </row>
    <row r="37" customFormat="false" ht="15" hidden="false" customHeight="false" outlineLevel="0" collapsed="false">
      <c r="A37" s="9" t="s">
        <v>70</v>
      </c>
      <c r="C37" s="17" t="n">
        <f aca="false">ROUND(C23-(B23+C32-C12),6)</f>
        <v>0</v>
      </c>
      <c r="D37" s="17" t="n">
        <f aca="false">ROUND(D23-(C23+D32-D12),6)</f>
        <v>0</v>
      </c>
      <c r="E37" s="17" t="n">
        <f aca="false">ROUND(E23-(D23+E32-E12),6)</f>
        <v>0</v>
      </c>
    </row>
    <row r="38" customFormat="false" ht="15" hidden="false" customHeight="false" outlineLevel="0" collapsed="false">
      <c r="A38" s="2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5" min="2" style="0" width="10"/>
  </cols>
  <sheetData>
    <row r="1" customFormat="false" ht="16.1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3" customFormat="false" ht="15" hidden="false" customHeight="false" outlineLevel="0" collapsed="false">
      <c r="H3" s="3" t="s">
        <v>74</v>
      </c>
      <c r="L3" s="3" t="s">
        <v>75</v>
      </c>
    </row>
    <row r="4" customFormat="false" ht="15" hidden="false" customHeight="false" outlineLevel="0" collapsed="false">
      <c r="B4" s="3" t="s">
        <v>42</v>
      </c>
      <c r="C4" s="3" t="s">
        <v>43</v>
      </c>
      <c r="D4" s="3" t="s">
        <v>44</v>
      </c>
      <c r="E4" s="3" t="s">
        <v>45</v>
      </c>
      <c r="F4" s="3" t="s">
        <v>76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42</v>
      </c>
      <c r="M4" s="3" t="s">
        <v>43</v>
      </c>
      <c r="N4" s="3" t="s">
        <v>44</v>
      </c>
      <c r="O4" s="3" t="s">
        <v>45</v>
      </c>
    </row>
    <row r="5" customFormat="false" ht="15" hidden="false" customHeight="false" outlineLevel="0" collapsed="false">
      <c r="A5" s="9" t="s">
        <v>77</v>
      </c>
      <c r="B5" s="12" t="n">
        <v>0.029</v>
      </c>
      <c r="C5" s="18" t="n">
        <f aca="false">Historico!C8/Historico!B8-1</f>
        <v>0.0242232086239695</v>
      </c>
      <c r="D5" s="18" t="n">
        <f aca="false">Historico!D8/Historico!C8-1</f>
        <v>0.124566617137197</v>
      </c>
      <c r="E5" s="18" t="n">
        <f aca="false">Historico!E8/Historico!D8-1</f>
        <v>0.154811715481171</v>
      </c>
      <c r="F5" s="12" t="n">
        <v>-0.018</v>
      </c>
      <c r="H5" s="12" t="n">
        <v>0.029</v>
      </c>
      <c r="I5" s="12" t="n">
        <v>0.024</v>
      </c>
      <c r="J5" s="12" t="n">
        <v>0.125</v>
      </c>
      <c r="K5" s="12" t="n">
        <v>0.155</v>
      </c>
      <c r="L5" s="19" t="n">
        <f aca="false">B5-H5</f>
        <v>0</v>
      </c>
      <c r="M5" s="19" t="n">
        <f aca="false">C5-I5</f>
        <v>0.000223208623969538</v>
      </c>
      <c r="N5" s="19" t="n">
        <f aca="false">D5-J5</f>
        <v>-0.000433382862803366</v>
      </c>
      <c r="O5" s="19" t="n">
        <f aca="false">E5-K5</f>
        <v>-0.000188284518828546</v>
      </c>
    </row>
    <row r="6" customFormat="false" ht="15" hidden="false" customHeight="false" outlineLevel="0" collapsed="false">
      <c r="A6" s="9" t="s">
        <v>78</v>
      </c>
      <c r="B6" s="18" t="n">
        <f aca="false">Historico!B10/Historico!B8</f>
        <v>0.489029803424223</v>
      </c>
      <c r="C6" s="18" t="n">
        <f aca="false">Historico!C10/Historico!C8</f>
        <v>0.469044081228331</v>
      </c>
      <c r="D6" s="18" t="n">
        <f aca="false">Historico!D10/Historico!D8</f>
        <v>0.518057696542612</v>
      </c>
      <c r="E6" s="18" t="n">
        <f aca="false">Historico!E10/Historico!E8</f>
        <v>0.520022883295195</v>
      </c>
      <c r="F6" s="12" t="n">
        <v>0.489</v>
      </c>
      <c r="H6" s="12" t="n">
        <v>0.489</v>
      </c>
      <c r="I6" s="12" t="n">
        <v>0.469</v>
      </c>
      <c r="J6" s="12" t="n">
        <v>0.518</v>
      </c>
      <c r="K6" s="12" t="n">
        <v>0.52</v>
      </c>
      <c r="L6" s="19" t="n">
        <f aca="false">B6-H6</f>
        <v>2.98034242232625E-005</v>
      </c>
      <c r="M6" s="19" t="n">
        <f aca="false">C6-I6</f>
        <v>4.40812283308834E-005</v>
      </c>
      <c r="N6" s="19" t="n">
        <f aca="false">D6-J6</f>
        <v>5.76965426117848E-005</v>
      </c>
      <c r="O6" s="19" t="n">
        <f aca="false">E6-K6</f>
        <v>2.2883295194509E-005</v>
      </c>
    </row>
    <row r="7" customFormat="false" ht="15" hidden="false" customHeight="false" outlineLevel="0" collapsed="false">
      <c r="A7" s="9" t="s">
        <v>79</v>
      </c>
      <c r="B7" s="18" t="n">
        <f aca="false">Historico!B11/Historico!B8</f>
        <v>0.381991122384274</v>
      </c>
      <c r="C7" s="18" t="n">
        <f aca="false">Historico!C11/Historico!C8</f>
        <v>0.373947498761763</v>
      </c>
      <c r="D7" s="18" t="n">
        <f aca="false">Historico!D11/Historico!D8</f>
        <v>0.391984144461572</v>
      </c>
      <c r="E7" s="18" t="n">
        <f aca="false">Historico!E11/Historico!E8</f>
        <v>0.38567887109077</v>
      </c>
    </row>
    <row r="8" customFormat="false" ht="15" hidden="false" customHeight="false" outlineLevel="0" collapsed="false">
      <c r="A8" s="9" t="s">
        <v>80</v>
      </c>
      <c r="B8" s="18" t="n">
        <f aca="false">Historico!B13/Historico!B8</f>
        <v>0.0636651870640457</v>
      </c>
      <c r="C8" s="18" t="n">
        <f aca="false">Historico!C13/Historico!C8</f>
        <v>0.0475482912332838</v>
      </c>
      <c r="D8" s="18" t="n">
        <f aca="false">Historico!D13/Historico!D8</f>
        <v>0.0861043822946488</v>
      </c>
      <c r="E8" s="18" t="n">
        <f aca="false">Historico!E13/Historico!E8</f>
        <v>0.09534706331045</v>
      </c>
      <c r="F8" s="12" t="n">
        <v>0.076</v>
      </c>
      <c r="H8" s="12" t="n">
        <v>0.064</v>
      </c>
      <c r="I8" s="12" t="n">
        <v>0.048</v>
      </c>
      <c r="J8" s="12" t="n">
        <v>0.086</v>
      </c>
      <c r="K8" s="12" t="n">
        <v>0.095</v>
      </c>
      <c r="L8" s="19" t="n">
        <f aca="false">B8-H8</f>
        <v>-0.000334812935954304</v>
      </c>
      <c r="M8" s="19" t="n">
        <f aca="false">C8-I8</f>
        <v>-0.000451708766716186</v>
      </c>
      <c r="N8" s="19" t="n">
        <f aca="false">D8-J8</f>
        <v>0.000104382294648819</v>
      </c>
      <c r="O8" s="19" t="n">
        <f aca="false">E8-K8</f>
        <v>0.000347063310450008</v>
      </c>
    </row>
    <row r="9" customFormat="false" ht="15" hidden="false" customHeight="false" outlineLevel="0" collapsed="false">
      <c r="A9" s="9" t="s">
        <v>81</v>
      </c>
      <c r="B9" s="18" t="n">
        <f aca="false">Historico!B14/Historico!B13</f>
        <v>0.350597609561753</v>
      </c>
      <c r="C9" s="18" t="n">
        <f aca="false">Historico!C14/Historico!C13</f>
        <v>0.341145833333333</v>
      </c>
      <c r="D9" s="18" t="n">
        <f aca="false">Historico!D14/Historico!D13</f>
        <v>0.335038363171355</v>
      </c>
      <c r="E9" s="18" t="n">
        <f aca="false">Historico!E14/Historico!E13</f>
        <v>0.392</v>
      </c>
    </row>
    <row r="10" customFormat="false" ht="15" hidden="false" customHeight="false" outlineLevel="0" collapsed="false">
      <c r="A10" s="9" t="s">
        <v>5</v>
      </c>
      <c r="B10" s="18" t="n">
        <f aca="false">Historico!B15/Historico!B8</f>
        <v>0.0413443246670895</v>
      </c>
      <c r="C10" s="18" t="n">
        <f aca="false">Historico!C15/Historico!C8</f>
        <v>0.0313273897969292</v>
      </c>
      <c r="D10" s="18" t="n">
        <f aca="false">Historico!D15/Historico!D8</f>
        <v>0.0572561109887691</v>
      </c>
      <c r="E10" s="18" t="n">
        <f aca="false">Historico!E15/Historico!E8</f>
        <v>0.0579710144927536</v>
      </c>
      <c r="F10" s="12" t="n">
        <v>0.028</v>
      </c>
      <c r="H10" s="12" t="n">
        <v>0.041</v>
      </c>
      <c r="I10" s="12" t="n">
        <v>0.031</v>
      </c>
      <c r="J10" s="12" t="n">
        <v>0.057</v>
      </c>
      <c r="K10" s="12" t="n">
        <v>0.058</v>
      </c>
      <c r="L10" s="19" t="n">
        <f aca="false">B10-H10</f>
        <v>0.000344324667089446</v>
      </c>
      <c r="M10" s="19" t="n">
        <f aca="false">C10-I10</f>
        <v>0.000327389796929187</v>
      </c>
      <c r="N10" s="19" t="n">
        <f aca="false">D10-J10</f>
        <v>0.00025611098876905</v>
      </c>
      <c r="O10" s="19" t="n">
        <f aca="false">E10-K10</f>
        <v>-2.89855072464068E-005</v>
      </c>
    </row>
    <row r="11" customFormat="false" ht="15" hidden="false" customHeight="false" outlineLevel="0" collapsed="false">
      <c r="A11" s="9" t="s">
        <v>82</v>
      </c>
      <c r="B11" s="18" t="n">
        <f aca="false">Historico!B15/Historico!B24</f>
        <v>0.0315891472868217</v>
      </c>
      <c r="C11" s="18" t="n">
        <f aca="false">Historico!C15/Historico!C24</f>
        <v>0.0237759609059299</v>
      </c>
      <c r="D11" s="18" t="n">
        <f aca="false">Historico!D15/Historico!D24</f>
        <v>0.046569944474297</v>
      </c>
      <c r="E11" s="18" t="n">
        <f aca="false">Historico!E15/Historico!E24</f>
        <v>0.0514600084638172</v>
      </c>
      <c r="F11" s="12" t="n">
        <v>0.029</v>
      </c>
      <c r="H11" s="12" t="n">
        <v>0.032</v>
      </c>
      <c r="I11" s="12" t="n">
        <v>0.024</v>
      </c>
      <c r="J11" s="12" t="n">
        <v>0.047</v>
      </c>
      <c r="K11" s="12" t="n">
        <v>0.051</v>
      </c>
      <c r="L11" s="19" t="n">
        <f aca="false">B11-H11</f>
        <v>-0.00041085271317827</v>
      </c>
      <c r="M11" s="19" t="n">
        <f aca="false">C11-I11</f>
        <v>-0.000224039094070094</v>
      </c>
      <c r="N11" s="19" t="n">
        <f aca="false">D11-J11</f>
        <v>-0.000430055525702973</v>
      </c>
      <c r="O11" s="19" t="n">
        <f aca="false">E11-K11</f>
        <v>0.000460008463817156</v>
      </c>
    </row>
    <row r="12" customFormat="false" ht="15" hidden="false" customHeight="false" outlineLevel="0" collapsed="false">
      <c r="A12" s="9" t="s">
        <v>83</v>
      </c>
      <c r="B12" s="18" t="n">
        <f aca="false">Historico!B15/Historico!B30</f>
        <v>0.0327276377873708</v>
      </c>
      <c r="C12" s="18" t="n">
        <f aca="false">Historico!C15/Historico!C30</f>
        <v>0.0247699236342275</v>
      </c>
      <c r="D12" s="18" t="n">
        <f aca="false">Historico!D15/Historico!D30</f>
        <v>0.0484441960126701</v>
      </c>
      <c r="E12" s="18" t="n">
        <f aca="false">Historico!E15/Historico!E30</f>
        <v>0.0536060659495679</v>
      </c>
      <c r="F12" s="12" t="n">
        <v>0.04</v>
      </c>
      <c r="H12" s="12" t="n">
        <v>0.033</v>
      </c>
      <c r="I12" s="12" t="n">
        <v>0.025</v>
      </c>
      <c r="J12" s="12" t="n">
        <v>0.048</v>
      </c>
      <c r="K12" s="12" t="n">
        <v>0.054</v>
      </c>
      <c r="L12" s="19" t="n">
        <f aca="false">B12-H12</f>
        <v>-0.000272362212629225</v>
      </c>
      <c r="M12" s="19" t="n">
        <f aca="false">C12-I12</f>
        <v>-0.000230076365772457</v>
      </c>
      <c r="N12" s="19" t="n">
        <f aca="false">D12-J12</f>
        <v>0.000444196012670081</v>
      </c>
      <c r="O12" s="19" t="n">
        <f aca="false">E12-K12</f>
        <v>-0.000393934050432053</v>
      </c>
    </row>
    <row r="13" customFormat="false" ht="15" hidden="false" customHeight="false" outlineLevel="0" collapsed="false">
      <c r="A13" s="9" t="s">
        <v>84</v>
      </c>
      <c r="B13" s="20" t="n">
        <f aca="false">Historico!B19/Historico!B8*365</f>
        <v>41.9391249207356</v>
      </c>
      <c r="C13" s="20" t="n">
        <f aca="false">Historico!C19/Historico!C8*365</f>
        <v>44.9696631996038</v>
      </c>
      <c r="D13" s="20" t="n">
        <f aca="false">Historico!D19/Historico!D8*365</f>
        <v>48.0263157894737</v>
      </c>
      <c r="E13" s="20" t="n">
        <f aca="false">Historico!E19/Historico!E8*365</f>
        <v>50.9496567505721</v>
      </c>
      <c r="F13" s="21" t="n">
        <v>21.8</v>
      </c>
      <c r="H13" s="21" t="n">
        <v>41.9</v>
      </c>
      <c r="I13" s="21" t="n">
        <v>45</v>
      </c>
      <c r="J13" s="21" t="n">
        <v>48</v>
      </c>
      <c r="K13" s="21" t="n">
        <v>50.9</v>
      </c>
      <c r="L13" s="22" t="n">
        <f aca="false">B13-H13</f>
        <v>0.0391249207355671</v>
      </c>
      <c r="M13" s="22" t="n">
        <f aca="false">C13-I13</f>
        <v>-0.0303368003962419</v>
      </c>
      <c r="N13" s="22" t="n">
        <f aca="false">D13-J13</f>
        <v>0.026315789473685</v>
      </c>
      <c r="O13" s="22" t="n">
        <f aca="false">E13-K13</f>
        <v>0.0496567505720904</v>
      </c>
    </row>
    <row r="14" customFormat="false" ht="15" hidden="false" customHeight="false" outlineLevel="0" collapsed="false">
      <c r="A14" s="9" t="s">
        <v>85</v>
      </c>
      <c r="B14" s="20" t="n">
        <f aca="false">Historico!B20/Historico!B9*365</f>
        <v>424.247952345495</v>
      </c>
      <c r="C14" s="20" t="n">
        <f aca="false">Historico!C20/Historico!C9*365</f>
        <v>432.075559701493</v>
      </c>
      <c r="D14" s="20" t="n">
        <f aca="false">Historico!D20/Historico!D9*365</f>
        <v>436.465615718529</v>
      </c>
      <c r="E14" s="20" t="n">
        <f aca="false">Historico!E20/Historico!E9*365</f>
        <v>476.298172427493</v>
      </c>
      <c r="F14" s="21" t="n">
        <v>386.3</v>
      </c>
      <c r="H14" s="21" t="n">
        <v>424.2</v>
      </c>
      <c r="I14" s="21" t="n">
        <v>432.1</v>
      </c>
      <c r="J14" s="21" t="n">
        <v>436.5</v>
      </c>
      <c r="K14" s="21" t="n">
        <v>476.3</v>
      </c>
      <c r="L14" s="22" t="n">
        <f aca="false">B14-H14</f>
        <v>0.0479523454952187</v>
      </c>
      <c r="M14" s="22" t="n">
        <f aca="false">C14-I14</f>
        <v>-0.0244402985074998</v>
      </c>
      <c r="N14" s="22" t="n">
        <f aca="false">D14-J14</f>
        <v>-0.0343842814713184</v>
      </c>
      <c r="O14" s="22" t="n">
        <f aca="false">E14-K14</f>
        <v>-0.00182757250695431</v>
      </c>
    </row>
    <row r="15" customFormat="false" ht="15" hidden="false" customHeight="false" outlineLevel="0" collapsed="false">
      <c r="A15" s="9" t="s">
        <v>86</v>
      </c>
      <c r="B15" s="20" t="n">
        <f aca="false">Historico!B26/Historico!B33*365</f>
        <v>15.5539772727273</v>
      </c>
      <c r="C15" s="20" t="n">
        <f aca="false">Historico!C26/Historico!C33*365</f>
        <v>13.3230027548209</v>
      </c>
      <c r="D15" s="20" t="n">
        <f aca="false">Historico!D26/Historico!D33*365</f>
        <v>10.189205955335</v>
      </c>
      <c r="E15" s="20" t="n">
        <f aca="false">Historico!E26/Historico!E33*365</f>
        <v>9.85953538627769</v>
      </c>
      <c r="F15" s="21" t="n">
        <v>26.9</v>
      </c>
      <c r="H15" s="21" t="n">
        <v>15.6</v>
      </c>
      <c r="I15" s="21" t="n">
        <v>13.3</v>
      </c>
      <c r="J15" s="21" t="n">
        <v>10.2</v>
      </c>
      <c r="K15" s="21" t="n">
        <v>9.9</v>
      </c>
      <c r="L15" s="22" t="n">
        <f aca="false">B15-H15</f>
        <v>-0.0460227272727281</v>
      </c>
      <c r="M15" s="22" t="n">
        <f aca="false">C15-I15</f>
        <v>0.0230027548209364</v>
      </c>
      <c r="N15" s="22" t="n">
        <f aca="false">D15-J15</f>
        <v>-0.0107940446650101</v>
      </c>
      <c r="O15" s="22" t="n">
        <f aca="false">E15-K15</f>
        <v>-0.0404646137223121</v>
      </c>
    </row>
    <row r="16" customFormat="false" ht="15" hidden="false" customHeight="false" outlineLevel="0" collapsed="false">
      <c r="A16" s="9" t="s">
        <v>87</v>
      </c>
      <c r="B16" s="20" t="n">
        <f aca="false">B13+B14-B15</f>
        <v>450.633099993504</v>
      </c>
      <c r="C16" s="20" t="n">
        <f aca="false">C13+C14-C15</f>
        <v>463.722220146275</v>
      </c>
      <c r="D16" s="20" t="n">
        <f aca="false">D13+D14-D15</f>
        <v>474.302725552667</v>
      </c>
      <c r="E16" s="20" t="n">
        <f aca="false">E13+E14-E15</f>
        <v>517.388293791787</v>
      </c>
      <c r="F16" s="20" t="n">
        <f aca="false">F13+F14-F15</f>
        <v>381.2</v>
      </c>
    </row>
    <row r="17" customFormat="false" ht="15" hidden="false" customHeight="false" outlineLevel="0" collapsed="false">
      <c r="A17" s="9" t="s">
        <v>88</v>
      </c>
      <c r="B17" s="23" t="n">
        <f aca="false">Historico!B8/Historico!B23</f>
        <v>2.37428485395965</v>
      </c>
      <c r="C17" s="23" t="n">
        <f aca="false">Historico!C8/Historico!C23</f>
        <v>2.42887218045113</v>
      </c>
      <c r="D17" s="23" t="n">
        <f aca="false">Historico!D8/Historico!D23</f>
        <v>2.36325787145459</v>
      </c>
      <c r="E17" s="23" t="n">
        <f aca="false">Historico!E8/Historico!E23</f>
        <v>3.01465938488071</v>
      </c>
      <c r="F17" s="24" t="n">
        <v>2.7</v>
      </c>
      <c r="H17" s="24" t="n">
        <v>2.4</v>
      </c>
      <c r="I17" s="24" t="n">
        <v>2.4</v>
      </c>
      <c r="J17" s="24" t="n">
        <v>2.4</v>
      </c>
      <c r="K17" s="24" t="n">
        <v>3</v>
      </c>
      <c r="L17" s="22" t="n">
        <f aca="false">B17-H17</f>
        <v>-0.0257151460403495</v>
      </c>
      <c r="M17" s="22" t="n">
        <f aca="false">C17-I17</f>
        <v>0.0288721804511281</v>
      </c>
      <c r="N17" s="22" t="n">
        <f aca="false">D17-J17</f>
        <v>-0.036742128545407</v>
      </c>
      <c r="O17" s="22" t="n">
        <f aca="false">E17-K17</f>
        <v>0.0146593848807131</v>
      </c>
    </row>
    <row r="18" customFormat="false" ht="15" hidden="false" customHeight="false" outlineLevel="0" collapsed="false">
      <c r="A18" s="9" t="s">
        <v>89</v>
      </c>
      <c r="B18" s="23" t="n">
        <f aca="false">Historico!B8/Historico!B24</f>
        <v>0.764050387596899</v>
      </c>
      <c r="C18" s="23" t="n">
        <f aca="false">Historico!C8/Historico!C24</f>
        <v>0.758951226388497</v>
      </c>
      <c r="D18" s="23" t="n">
        <f aca="false">Historico!D8/Historico!D24</f>
        <v>0.813361991760702</v>
      </c>
      <c r="E18" s="23" t="n">
        <f aca="false">Historico!E8/Historico!E24</f>
        <v>0.887685146000846</v>
      </c>
    </row>
    <row r="19" customFormat="false" ht="15" hidden="false" customHeight="false" outlineLevel="0" collapsed="false">
      <c r="A19" s="9" t="s">
        <v>90</v>
      </c>
      <c r="B19" s="18" t="n">
        <f aca="false">Historico!B18/Historico!B8</f>
        <v>0.152314521242866</v>
      </c>
      <c r="C19" s="18" t="n">
        <f aca="false">Historico!C18/Historico!C8</f>
        <v>0.130262506191184</v>
      </c>
      <c r="D19" s="18" t="n">
        <f aca="false">Historico!D18/Historico!D8</f>
        <v>0.0735520810394186</v>
      </c>
      <c r="E19" s="18" t="n">
        <f aca="false">Historico!E18/Historico!E8</f>
        <v>0.0089626239511823</v>
      </c>
    </row>
    <row r="20" customFormat="false" ht="15" hidden="false" customHeight="false" outlineLevel="0" collapsed="false">
      <c r="A20" s="9" t="s">
        <v>91</v>
      </c>
      <c r="B20" s="23" t="n">
        <f aca="false">Historico!B22/Historico!B29</f>
        <v>19.4958217270195</v>
      </c>
      <c r="C20" s="23" t="n">
        <f aca="false">Historico!C22/Historico!C29</f>
        <v>17.1334894613583</v>
      </c>
      <c r="D20" s="23" t="n">
        <f aca="false">Historico!D22/Historico!D29</f>
        <v>16.9513888888889</v>
      </c>
      <c r="E20" s="23" t="n">
        <f aca="false">Historico!E22/Historico!E29</f>
        <v>17.6236786469345</v>
      </c>
    </row>
    <row r="21" customFormat="false" ht="15" hidden="false" customHeight="false" outlineLevel="0" collapsed="false">
      <c r="A21" s="9" t="s">
        <v>92</v>
      </c>
      <c r="B21" s="23" t="n">
        <f aca="false">(Historico!B18+Historico!B19)/Historico!B29</f>
        <v>5.86908077994429</v>
      </c>
      <c r="C21" s="23" t="n">
        <f aca="false">(Historico!C18+Historico!C19)/Historico!C29</f>
        <v>4.79391100702576</v>
      </c>
      <c r="D21" s="23" t="n">
        <f aca="false">(Historico!D18+Historico!D19)/Historico!D29</f>
        <v>4.3125</v>
      </c>
      <c r="E21" s="23" t="n">
        <f aca="false">(Historico!E18+Historico!E19)/Historico!E29</f>
        <v>3.2938689217759</v>
      </c>
    </row>
    <row r="22" customFormat="false" ht="15" hidden="false" customHeight="false" outlineLevel="0" collapsed="false">
      <c r="A22" s="9" t="s">
        <v>93</v>
      </c>
      <c r="B22" s="17" t="n">
        <f aca="false">Historico!B19+Historico!B20+Historico!B21-Historico!B29</f>
        <v>543.9</v>
      </c>
      <c r="C22" s="17" t="n">
        <f aca="false">Historico!C19+Historico!C20+Historico!C21-Historico!C29</f>
        <v>583.7</v>
      </c>
      <c r="D22" s="17" t="n">
        <f aca="false">Historico!D19+Historico!D20+Historico!D21-Historico!D29</f>
        <v>622.3</v>
      </c>
      <c r="E22" s="17" t="n">
        <f aca="false">Historico!E19+Historico!E20+Historico!E21-Historico!E29</f>
        <v>776.9</v>
      </c>
    </row>
    <row r="23" customFormat="false" ht="15" hidden="false" customHeight="false" outlineLevel="0" collapsed="false">
      <c r="A23" s="9" t="s">
        <v>94</v>
      </c>
      <c r="B23" s="18" t="n">
        <f aca="false">B22/Historico!B8</f>
        <v>0.689790741915029</v>
      </c>
      <c r="C23" s="18" t="n">
        <f aca="false">C22/Historico!C8</f>
        <v>0.722758791480931</v>
      </c>
      <c r="D23" s="18" t="n">
        <f aca="false">D22/Historico!D8</f>
        <v>0.685201497467518</v>
      </c>
      <c r="E23" s="18" t="n">
        <f aca="false">E22/Historico!E8</f>
        <v>0.740751334858886</v>
      </c>
    </row>
    <row r="26" customFormat="false" ht="15" hidden="false" customHeight="false" outlineLevel="0" collapsed="false">
      <c r="A26" s="3" t="s">
        <v>95</v>
      </c>
    </row>
    <row r="27" customFormat="false" ht="15" hidden="false" customHeight="false" outlineLevel="0" collapsed="false">
      <c r="A27" s="9" t="s">
        <v>96</v>
      </c>
      <c r="E27" s="25" t="n">
        <f aca="false">Historico!E24/Historico!E8</f>
        <v>1.12652555301297</v>
      </c>
    </row>
    <row r="28" customFormat="false" ht="15" hidden="false" customHeight="false" outlineLevel="0" collapsed="false">
      <c r="A28" s="9" t="s">
        <v>97</v>
      </c>
      <c r="E28" s="25" t="n">
        <f aca="false">Historico!E29/Historico!E8</f>
        <v>0.0450991609458429</v>
      </c>
    </row>
    <row r="29" customFormat="false" ht="15" hidden="false" customHeight="false" outlineLevel="0" collapsed="false">
      <c r="A29" s="9" t="s">
        <v>98</v>
      </c>
      <c r="E29" s="18" t="n">
        <f aca="false">E10</f>
        <v>0.0579710144927536</v>
      </c>
    </row>
    <row r="30" customFormat="false" ht="15" hidden="false" customHeight="false" outlineLevel="0" collapsed="false">
      <c r="A30" s="9" t="s">
        <v>99</v>
      </c>
      <c r="E30" s="26" t="n">
        <f aca="false">E29/(E27-E28-E29)</f>
        <v>0.0566424445686603</v>
      </c>
    </row>
    <row r="31" customFormat="false" ht="15" hidden="false" customHeight="false" outlineLevel="0" collapsed="false">
      <c r="A31" s="9" t="s">
        <v>100</v>
      </c>
      <c r="E31" s="18" t="n">
        <f aca="false">Historico!E15/Historico!D30</f>
        <v>0.0566424445686603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3" style="0" width="12"/>
  </cols>
  <sheetData>
    <row r="1" customFormat="false" ht="16.1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4" customFormat="false" ht="15" hidden="false" customHeight="false" outlineLevel="0" collapsed="false">
      <c r="C4" s="3" t="s">
        <v>43</v>
      </c>
      <c r="D4" s="3" t="s">
        <v>44</v>
      </c>
      <c r="E4" s="3" t="s">
        <v>45</v>
      </c>
      <c r="F4" s="3" t="s">
        <v>103</v>
      </c>
    </row>
    <row r="5" customFormat="false" ht="15" hidden="false" customHeight="false" outlineLevel="0" collapsed="false">
      <c r="A5" s="9" t="s">
        <v>4</v>
      </c>
      <c r="C5" s="6" t="n">
        <f aca="false">Historico!C15</f>
        <v>25.3</v>
      </c>
      <c r="D5" s="6" t="n">
        <f aca="false">Historico!D15</f>
        <v>52.0000000000001</v>
      </c>
      <c r="E5" s="6" t="n">
        <f aca="false">Historico!E15</f>
        <v>60.8</v>
      </c>
      <c r="F5" s="17" t="n">
        <f aca="false">SUM(C5:E5)</f>
        <v>138.1</v>
      </c>
    </row>
    <row r="6" customFormat="false" ht="15" hidden="false" customHeight="false" outlineLevel="0" collapsed="false">
      <c r="A6" s="9" t="s">
        <v>104</v>
      </c>
      <c r="C6" s="6" t="n">
        <f aca="false">Historico!C12</f>
        <v>38.4</v>
      </c>
      <c r="D6" s="6" t="n">
        <f aca="false">Historico!D12</f>
        <v>36.3</v>
      </c>
      <c r="E6" s="6" t="n">
        <f aca="false">Historico!E12</f>
        <v>40.9</v>
      </c>
      <c r="F6" s="17" t="n">
        <f aca="false">SUM(C6:E6)</f>
        <v>115.6</v>
      </c>
    </row>
    <row r="7" customFormat="false" ht="15" hidden="false" customHeight="false" outlineLevel="0" collapsed="false">
      <c r="A7" s="9" t="s">
        <v>105</v>
      </c>
      <c r="C7" s="6" t="n">
        <f aca="false">-(Historico!C19-Historico!B19)</f>
        <v>-8.90000000000001</v>
      </c>
      <c r="D7" s="6" t="n">
        <f aca="false">-(Historico!D19-Historico!C19)</f>
        <v>-20</v>
      </c>
      <c r="E7" s="6" t="n">
        <f aca="false">-(Historico!E19-Historico!D19)</f>
        <v>-26.9</v>
      </c>
      <c r="F7" s="17" t="n">
        <f aca="false">SUM(C7:E7)</f>
        <v>-55.8</v>
      </c>
    </row>
    <row r="8" customFormat="false" ht="15" hidden="false" customHeight="false" outlineLevel="0" collapsed="false">
      <c r="A8" s="9" t="s">
        <v>106</v>
      </c>
      <c r="C8" s="6" t="n">
        <f aca="false">-(Historico!C20-Historico!B20)</f>
        <v>-39.3</v>
      </c>
      <c r="D8" s="6" t="n">
        <f aca="false">-(Historico!D20-Historico!C20)</f>
        <v>-15.8</v>
      </c>
      <c r="E8" s="6" t="n">
        <f aca="false">-(Historico!E20-Historico!D20)</f>
        <v>-133.5</v>
      </c>
      <c r="F8" s="17" t="n">
        <f aca="false">SUM(C8:E8)</f>
        <v>-188.6</v>
      </c>
    </row>
    <row r="9" customFormat="false" ht="15" hidden="false" customHeight="false" outlineLevel="0" collapsed="false">
      <c r="A9" s="9" t="s">
        <v>107</v>
      </c>
      <c r="C9" s="6" t="n">
        <f aca="false">-(Historico!C21-Historico!B21)</f>
        <v>1.6</v>
      </c>
      <c r="D9" s="6" t="n">
        <f aca="false">-(Historico!D21-Historico!C21)</f>
        <v>-3.3</v>
      </c>
      <c r="E9" s="6" t="n">
        <f aca="false">-(Historico!E21-Historico!D21)</f>
        <v>1.7</v>
      </c>
      <c r="F9" s="17" t="n">
        <f aca="false">SUM(C9:E9)</f>
        <v>0</v>
      </c>
    </row>
    <row r="10" customFormat="false" ht="15" hidden="false" customHeight="false" outlineLevel="0" collapsed="false">
      <c r="A10" s="9" t="s">
        <v>108</v>
      </c>
      <c r="C10" s="6" t="n">
        <f aca="false">Historico!C29-Historico!B29</f>
        <v>6.8</v>
      </c>
      <c r="D10" s="6" t="n">
        <f aca="false">Historico!D29-Historico!C29</f>
        <v>0.5</v>
      </c>
      <c r="E10" s="6" t="n">
        <f aca="false">Historico!E29-Historico!D29</f>
        <v>4.09999999999999</v>
      </c>
      <c r="F10" s="17" t="n">
        <f aca="false">SUM(C10:E10)</f>
        <v>11.4</v>
      </c>
    </row>
    <row r="11" customFormat="false" ht="15" hidden="false" customHeight="false" outlineLevel="0" collapsed="false">
      <c r="A11" s="3" t="s">
        <v>109</v>
      </c>
      <c r="C11" s="16" t="n">
        <f aca="false">SUM(C5:C10)</f>
        <v>23.9</v>
      </c>
      <c r="D11" s="16" t="n">
        <f aca="false">SUM(D5:D10)</f>
        <v>49.7000000000001</v>
      </c>
      <c r="E11" s="16" t="n">
        <f aca="false">SUM(E5:E10)</f>
        <v>-52.9</v>
      </c>
      <c r="F11" s="17" t="n">
        <f aca="false">SUM(C11:E11)</f>
        <v>20.7000000000001</v>
      </c>
    </row>
    <row r="12" customFormat="false" ht="15" hidden="false" customHeight="false" outlineLevel="0" collapsed="false">
      <c r="A12" s="9" t="s">
        <v>110</v>
      </c>
      <c r="C12" s="6" t="n">
        <f aca="false">-Historico!C32</f>
        <v>-38.8</v>
      </c>
      <c r="D12" s="6" t="n">
        <f aca="false">-Historico!D32</f>
        <v>-88.1</v>
      </c>
      <c r="E12" s="6" t="n">
        <f aca="false">-Historico!E32</f>
        <v>-4.5</v>
      </c>
      <c r="F12" s="17" t="n">
        <f aca="false">SUM(C12:E12)</f>
        <v>-131.4</v>
      </c>
    </row>
    <row r="13" customFormat="false" ht="15" hidden="false" customHeight="false" outlineLevel="0" collapsed="false">
      <c r="A13" s="3" t="s">
        <v>111</v>
      </c>
      <c r="C13" s="16" t="n">
        <f aca="false">C11+C12</f>
        <v>-14.9</v>
      </c>
      <c r="D13" s="16" t="n">
        <f aca="false">D11+D12</f>
        <v>-38.3999999999999</v>
      </c>
      <c r="E13" s="16" t="n">
        <f aca="false">E11+E12</f>
        <v>-57.4</v>
      </c>
      <c r="F13" s="17" t="n">
        <f aca="false">SUM(C13:E13)</f>
        <v>-110.7</v>
      </c>
    </row>
    <row r="14" customFormat="false" ht="15" hidden="false" customHeight="false" outlineLevel="0" collapsed="false">
      <c r="A14" s="9" t="s">
        <v>112</v>
      </c>
      <c r="C14" s="6" t="n">
        <f aca="false">Historico!C18-Historico!B18</f>
        <v>-14.9</v>
      </c>
      <c r="D14" s="6" t="n">
        <f aca="false">Historico!D18-Historico!C18</f>
        <v>-38.4</v>
      </c>
      <c r="E14" s="6" t="n">
        <f aca="false">Historico!E18-Historico!D18</f>
        <v>-57.4</v>
      </c>
      <c r="F14" s="17" t="n">
        <f aca="false">SUM(C14:E14)</f>
        <v>-110.7</v>
      </c>
    </row>
    <row r="15" customFormat="false" ht="15" hidden="false" customHeight="false" outlineLevel="0" collapsed="false">
      <c r="A15" s="9" t="s">
        <v>113</v>
      </c>
      <c r="C15" s="27" t="n">
        <f aca="false">ROUND(C13-C14,6)</f>
        <v>0</v>
      </c>
      <c r="D15" s="27" t="n">
        <f aca="false">ROUND(D13-D14,6)</f>
        <v>0</v>
      </c>
      <c r="E15" s="27" t="n">
        <f aca="false">ROUND(E13-E14,6)</f>
        <v>0</v>
      </c>
      <c r="F15" s="17" t="n">
        <f aca="false">SUM(C15:E15)</f>
        <v>0</v>
      </c>
    </row>
    <row r="17" customFormat="false" ht="15" hidden="false" customHeight="false" outlineLevel="0" collapsed="false">
      <c r="A17" s="3" t="s">
        <v>114</v>
      </c>
    </row>
    <row r="18" customFormat="false" ht="15" hidden="false" customHeight="false" outlineLevel="0" collapsed="false">
      <c r="A18" s="9" t="s">
        <v>115</v>
      </c>
      <c r="F18" s="17" t="n">
        <f aca="false">F5+F6</f>
        <v>253.7</v>
      </c>
    </row>
    <row r="19" customFormat="false" ht="15" hidden="false" customHeight="false" outlineLevel="0" collapsed="false">
      <c r="A19" s="9" t="s">
        <v>116</v>
      </c>
      <c r="F19" s="17" t="n">
        <f aca="false">-F8</f>
        <v>188.6</v>
      </c>
    </row>
    <row r="20" customFormat="false" ht="15" hidden="false" customHeight="false" outlineLevel="0" collapsed="false">
      <c r="A20" s="9" t="s">
        <v>117</v>
      </c>
      <c r="F20" s="17" t="n">
        <f aca="false">-F7</f>
        <v>55.8</v>
      </c>
    </row>
    <row r="21" customFormat="false" ht="15" hidden="false" customHeight="false" outlineLevel="0" collapsed="false">
      <c r="A21" s="9" t="s">
        <v>118</v>
      </c>
      <c r="F21" s="26" t="n">
        <f aca="false">(F19+F20)/F18</f>
        <v>0.963342530547891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0" min="2" style="0" width="15"/>
  </cols>
  <sheetData>
    <row r="1" customFormat="false" ht="16.1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3" customFormat="false" ht="15" hidden="false" customHeight="false" outlineLevel="0" collapsed="false">
      <c r="A3" s="2" t="s">
        <v>121</v>
      </c>
    </row>
    <row r="4" customFormat="false" ht="57.75" hidden="false" customHeight="true" outlineLevel="0" collapsed="false">
      <c r="B4" s="28" t="s">
        <v>122</v>
      </c>
      <c r="C4" s="28" t="s">
        <v>123</v>
      </c>
      <c r="D4" s="28" t="s">
        <v>124</v>
      </c>
      <c r="E4" s="28" t="s">
        <v>125</v>
      </c>
      <c r="F4" s="28" t="s">
        <v>126</v>
      </c>
      <c r="G4" s="28" t="s">
        <v>127</v>
      </c>
      <c r="H4" s="28" t="s">
        <v>128</v>
      </c>
      <c r="I4" s="28" t="s">
        <v>129</v>
      </c>
      <c r="J4" s="28" t="s">
        <v>130</v>
      </c>
    </row>
    <row r="5" customFormat="false" ht="15" hidden="false" customHeight="false" outlineLevel="0" collapsed="false">
      <c r="A5" s="3" t="s">
        <v>131</v>
      </c>
    </row>
    <row r="6" customFormat="false" ht="15" hidden="false" customHeight="false" outlineLevel="0" collapsed="false">
      <c r="A6" s="9" t="s">
        <v>77</v>
      </c>
      <c r="B6" s="7" t="n">
        <f aca="false">Supuestos!$B$4</f>
        <v>0.3</v>
      </c>
      <c r="C6" s="7" t="n">
        <f aca="false">Supuestos!$B$4</f>
        <v>0.3</v>
      </c>
      <c r="D6" s="7" t="n">
        <f aca="false">Supuestos!$B$4</f>
        <v>0.3</v>
      </c>
      <c r="E6" s="7" t="n">
        <f aca="false">Supuestos!$B$4</f>
        <v>0.3</v>
      </c>
      <c r="F6" s="7" t="n">
        <f aca="false">Supuestos!$B$4</f>
        <v>0.3</v>
      </c>
      <c r="G6" s="7" t="n">
        <f aca="false">Supuestos!$B$4</f>
        <v>0.3</v>
      </c>
      <c r="H6" s="7" t="n">
        <f aca="false">Supuestos!$B$4</f>
        <v>0.3</v>
      </c>
      <c r="I6" s="7" t="n">
        <f aca="false">Supuestos!$B$4</f>
        <v>0.3</v>
      </c>
      <c r="J6" s="10" t="n">
        <v>0.15</v>
      </c>
    </row>
    <row r="7" customFormat="false" ht="15" hidden="false" customHeight="false" outlineLevel="0" collapsed="false">
      <c r="A7" s="9" t="s">
        <v>132</v>
      </c>
      <c r="B7" s="18" t="n">
        <f aca="false">B6</f>
        <v>0.3</v>
      </c>
      <c r="C7" s="18" t="n">
        <f aca="false">C6</f>
        <v>0.3</v>
      </c>
      <c r="D7" s="18" t="n">
        <f aca="false">D6</f>
        <v>0.3</v>
      </c>
      <c r="E7" s="18" t="n">
        <f aca="false">E6</f>
        <v>0.3</v>
      </c>
      <c r="F7" s="18" t="n">
        <f aca="false">F6</f>
        <v>0.3</v>
      </c>
      <c r="G7" s="18" t="n">
        <f aca="false">G6</f>
        <v>0.3</v>
      </c>
      <c r="H7" s="18" t="n">
        <f aca="false">H6</f>
        <v>0.3</v>
      </c>
      <c r="I7" s="18" t="n">
        <f aca="false">I6</f>
        <v>0.3</v>
      </c>
      <c r="J7" s="10" t="n">
        <v>0.3</v>
      </c>
    </row>
    <row r="8" customFormat="false" ht="15" hidden="false" customHeight="false" outlineLevel="0" collapsed="false">
      <c r="A8" s="9" t="s">
        <v>84</v>
      </c>
      <c r="B8" s="29" t="n">
        <f aca="false">Historico!$E$19/Historico!$E$8*365</f>
        <v>50.9496567505721</v>
      </c>
      <c r="C8" s="29" t="n">
        <f aca="false">Historico!$E$19/Historico!$E$8*365</f>
        <v>50.9496567505721</v>
      </c>
      <c r="D8" s="30" t="n">
        <v>45</v>
      </c>
      <c r="E8" s="29" t="n">
        <f aca="false">Historico!$E$19/Historico!$E$8*365</f>
        <v>50.9496567505721</v>
      </c>
      <c r="F8" s="29" t="n">
        <f aca="false">Historico!$E$19/Historico!$E$8*365</f>
        <v>50.9496567505721</v>
      </c>
      <c r="G8" s="30" t="n">
        <v>45</v>
      </c>
      <c r="H8" s="30" t="n">
        <v>45</v>
      </c>
      <c r="I8" s="29" t="n">
        <f aca="false">Historico!$E$19/Historico!$E$8*365</f>
        <v>50.9496567505721</v>
      </c>
      <c r="J8" s="29" t="n">
        <f aca="false">Historico!$E$19/Historico!$E$8*365</f>
        <v>50.9496567505721</v>
      </c>
    </row>
    <row r="9" customFormat="false" ht="15" hidden="false" customHeight="false" outlineLevel="0" collapsed="false">
      <c r="A9" s="9" t="s">
        <v>133</v>
      </c>
      <c r="B9" s="29" t="n">
        <f aca="false">Historico!$E$20/Historico!$E$9*365</f>
        <v>476.298172427493</v>
      </c>
      <c r="C9" s="29" t="n">
        <f aca="false">Historico!$E$20/Historico!$E$9*365</f>
        <v>476.298172427493</v>
      </c>
      <c r="D9" s="29" t="n">
        <f aca="false">Historico!$E$20/Historico!$E$9*365</f>
        <v>476.298172427493</v>
      </c>
      <c r="E9" s="30" t="n">
        <v>450</v>
      </c>
      <c r="F9" s="29" t="n">
        <f aca="false">Historico!$E$20/Historico!$E$9*365</f>
        <v>476.298172427493</v>
      </c>
      <c r="G9" s="30" t="n">
        <v>450</v>
      </c>
      <c r="H9" s="30" t="n">
        <v>450</v>
      </c>
      <c r="I9" s="29" t="n">
        <f aca="false">Historico!$E$20/Historico!$E$9*365</f>
        <v>476.298172427493</v>
      </c>
      <c r="J9" s="29" t="n">
        <f aca="false">Historico!$E$20/Historico!$E$9*365</f>
        <v>476.298172427493</v>
      </c>
    </row>
    <row r="10" customFormat="false" ht="15" hidden="false" customHeight="false" outlineLevel="0" collapsed="false">
      <c r="A10" s="9" t="s">
        <v>86</v>
      </c>
      <c r="B10" s="29" t="n">
        <f aca="false">Historico!$E$26/Historico!$E$33*365</f>
        <v>9.85953538627769</v>
      </c>
      <c r="C10" s="29" t="n">
        <f aca="false">Historico!$E$26/Historico!$E$33*365</f>
        <v>9.85953538627769</v>
      </c>
      <c r="D10" s="29" t="n">
        <f aca="false">Historico!$E$26/Historico!$E$33*365</f>
        <v>9.85953538627769</v>
      </c>
      <c r="E10" s="29" t="n">
        <f aca="false">Historico!$E$26/Historico!$E$33*365</f>
        <v>9.85953538627769</v>
      </c>
      <c r="F10" s="29" t="n">
        <f aca="false">Historico!$E$26/Historico!$E$33*365</f>
        <v>9.85953538627769</v>
      </c>
      <c r="G10" s="29" t="n">
        <f aca="false">Historico!$E$26/Historico!$E$33*365</f>
        <v>9.85953538627769</v>
      </c>
      <c r="H10" s="29" t="n">
        <f aca="false">Historico!$E$26/Historico!$E$33*365</f>
        <v>9.85953538627769</v>
      </c>
      <c r="I10" s="29" t="n">
        <f aca="false">Historico!$E$26/Historico!$E$33*365</f>
        <v>9.85953538627769</v>
      </c>
      <c r="J10" s="29" t="n">
        <f aca="false">Historico!$E$26/Historico!$E$33*365</f>
        <v>9.85953538627769</v>
      </c>
    </row>
    <row r="11" customFormat="false" ht="15" hidden="false" customHeight="false" outlineLevel="0" collapsed="false">
      <c r="A11" s="9" t="s">
        <v>134</v>
      </c>
      <c r="B11" s="12" t="n">
        <v>0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0" t="n">
        <v>0.02</v>
      </c>
      <c r="J11" s="12" t="n">
        <v>0</v>
      </c>
    </row>
    <row r="12" customFormat="false" ht="15" hidden="false" customHeight="false" outlineLevel="0" collapsed="false">
      <c r="A12" s="9" t="s">
        <v>135</v>
      </c>
      <c r="B12" s="11" t="n">
        <v>0</v>
      </c>
      <c r="C12" s="11" t="n">
        <v>0</v>
      </c>
      <c r="D12" s="11" t="n">
        <v>0</v>
      </c>
      <c r="E12" s="11" t="n">
        <v>0</v>
      </c>
      <c r="F12" s="31" t="n">
        <f aca="false">Supuestos!$B$11</f>
        <v>50</v>
      </c>
      <c r="G12" s="11" t="n">
        <v>0</v>
      </c>
      <c r="H12" s="11" t="n">
        <v>0</v>
      </c>
      <c r="I12" s="11" t="n">
        <v>0</v>
      </c>
      <c r="J12" s="11" t="n">
        <v>0</v>
      </c>
    </row>
    <row r="13" customFormat="false" ht="15" hidden="false" customHeight="false" outlineLevel="0" collapsed="false">
      <c r="A13" s="9" t="s">
        <v>136</v>
      </c>
      <c r="B13" s="7" t="n">
        <f aca="false">Supuestos!$B$8</f>
        <v>0.08</v>
      </c>
      <c r="C13" s="32" t="n">
        <f aca="false">Supuestos!$B$9</f>
        <v>0.0089626239511823</v>
      </c>
      <c r="D13" s="7" t="n">
        <f aca="false">Supuestos!$B$8</f>
        <v>0.08</v>
      </c>
      <c r="E13" s="7" t="n">
        <f aca="false">Supuestos!$B$8</f>
        <v>0.08</v>
      </c>
      <c r="F13" s="7" t="n">
        <f aca="false">Supuestos!$B$8</f>
        <v>0.08</v>
      </c>
      <c r="G13" s="7" t="n">
        <f aca="false">Supuestos!$B$8</f>
        <v>0.08</v>
      </c>
      <c r="H13" s="10" t="n">
        <v>0.03</v>
      </c>
      <c r="I13" s="7" t="n">
        <f aca="false">Supuestos!$B$8</f>
        <v>0.08</v>
      </c>
      <c r="J13" s="7" t="n">
        <f aca="false">Supuestos!$B$8</f>
        <v>0.08</v>
      </c>
    </row>
    <row r="14" customFormat="false" ht="15" hidden="false" customHeight="false" outlineLevel="0" collapsed="false">
      <c r="A14" s="9" t="s">
        <v>137</v>
      </c>
      <c r="B14" s="6" t="n">
        <f aca="false">Supuestos!$B$5</f>
        <v>75</v>
      </c>
      <c r="C14" s="6" t="n">
        <f aca="false">Supuestos!$B$5</f>
        <v>75</v>
      </c>
      <c r="D14" s="6" t="n">
        <f aca="false">Supuestos!$B$5</f>
        <v>75</v>
      </c>
      <c r="E14" s="6" t="n">
        <f aca="false">Supuestos!$B$5</f>
        <v>75</v>
      </c>
      <c r="F14" s="6" t="n">
        <f aca="false">Supuestos!$B$5</f>
        <v>75</v>
      </c>
      <c r="G14" s="6" t="n">
        <f aca="false">Supuestos!$B$5</f>
        <v>75</v>
      </c>
      <c r="H14" s="6" t="n">
        <f aca="false">Supuestos!$B$5</f>
        <v>75</v>
      </c>
      <c r="I14" s="6" t="n">
        <f aca="false">Supuestos!$B$5</f>
        <v>75</v>
      </c>
      <c r="J14" s="6" t="n">
        <f aca="false">Supuestos!$B$5</f>
        <v>75</v>
      </c>
    </row>
    <row r="15" customFormat="false" ht="15" hidden="false" customHeight="false" outlineLevel="0" collapsed="false">
      <c r="A15" s="9" t="s">
        <v>50</v>
      </c>
      <c r="B15" s="6" t="n">
        <f aca="false">Supuestos!$B$6</f>
        <v>46</v>
      </c>
      <c r="C15" s="6" t="n">
        <f aca="false">Supuestos!$B$6</f>
        <v>46</v>
      </c>
      <c r="D15" s="6" t="n">
        <f aca="false">Supuestos!$B$6</f>
        <v>46</v>
      </c>
      <c r="E15" s="6" t="n">
        <f aca="false">Supuestos!$B$6</f>
        <v>46</v>
      </c>
      <c r="F15" s="6" t="n">
        <f aca="false">Supuestos!$B$6</f>
        <v>46</v>
      </c>
      <c r="G15" s="6" t="n">
        <f aca="false">Supuestos!$B$6</f>
        <v>46</v>
      </c>
      <c r="H15" s="6" t="n">
        <f aca="false">Supuestos!$B$6</f>
        <v>46</v>
      </c>
      <c r="I15" s="6" t="n">
        <f aca="false">Supuestos!$B$6</f>
        <v>46</v>
      </c>
      <c r="J15" s="6" t="n">
        <f aca="false">Supuestos!$B$6</f>
        <v>46</v>
      </c>
    </row>
    <row r="16" customFormat="false" ht="15" hidden="false" customHeight="false" outlineLevel="0" collapsed="false">
      <c r="A16" s="9" t="s">
        <v>138</v>
      </c>
      <c r="B16" s="7" t="n">
        <f aca="false">Supuestos!$B$7</f>
        <v>0.065</v>
      </c>
      <c r="C16" s="7" t="n">
        <f aca="false">Supuestos!$B$7</f>
        <v>0.065</v>
      </c>
      <c r="D16" s="7" t="n">
        <f aca="false">Supuestos!$B$7</f>
        <v>0.065</v>
      </c>
      <c r="E16" s="7" t="n">
        <f aca="false">Supuestos!$B$7</f>
        <v>0.065</v>
      </c>
      <c r="F16" s="7" t="n">
        <f aca="false">Supuestos!$B$7</f>
        <v>0.065</v>
      </c>
      <c r="G16" s="7" t="n">
        <f aca="false">Supuestos!$B$7</f>
        <v>0.065</v>
      </c>
      <c r="H16" s="7" t="n">
        <f aca="false">Supuestos!$B$7</f>
        <v>0.065</v>
      </c>
      <c r="I16" s="7" t="n">
        <f aca="false">Supuestos!$B$7</f>
        <v>0.065</v>
      </c>
      <c r="J16" s="7" t="n">
        <f aca="false">Supuestos!$B$7</f>
        <v>0.065</v>
      </c>
    </row>
    <row r="17" customFormat="false" ht="15" hidden="false" customHeight="false" outlineLevel="0" collapsed="false">
      <c r="A17" s="9" t="s">
        <v>139</v>
      </c>
      <c r="B17" s="7" t="n">
        <f aca="false">Supuestos!$B$10</f>
        <v>0.392</v>
      </c>
      <c r="C17" s="7" t="n">
        <f aca="false">Supuestos!$B$10</f>
        <v>0.392</v>
      </c>
      <c r="D17" s="7" t="n">
        <f aca="false">Supuestos!$B$10</f>
        <v>0.392</v>
      </c>
      <c r="E17" s="7" t="n">
        <f aca="false">Supuestos!$B$10</f>
        <v>0.392</v>
      </c>
      <c r="F17" s="7" t="n">
        <f aca="false">Supuestos!$B$10</f>
        <v>0.392</v>
      </c>
      <c r="G17" s="7" t="n">
        <f aca="false">Supuestos!$B$10</f>
        <v>0.392</v>
      </c>
      <c r="H17" s="7" t="n">
        <f aca="false">Supuestos!$B$10</f>
        <v>0.392</v>
      </c>
      <c r="I17" s="7" t="n">
        <f aca="false">Supuestos!$B$10</f>
        <v>0.392</v>
      </c>
      <c r="J17" s="7" t="n">
        <f aca="false">Supuestos!$B$10</f>
        <v>0.392</v>
      </c>
    </row>
    <row r="19" customFormat="false" ht="15" hidden="false" customHeight="false" outlineLevel="0" collapsed="false">
      <c r="A19" s="3" t="s">
        <v>140</v>
      </c>
    </row>
    <row r="20" customFormat="false" ht="15" hidden="false" customHeight="false" outlineLevel="0" collapsed="false">
      <c r="A20" s="9" t="s">
        <v>3</v>
      </c>
      <c r="B20" s="17" t="n">
        <f aca="false">Historico!$E$8*(1+B6)</f>
        <v>1363.44</v>
      </c>
      <c r="C20" s="17" t="n">
        <f aca="false">Historico!$E$8*(1+C6)</f>
        <v>1363.44</v>
      </c>
      <c r="D20" s="17" t="n">
        <f aca="false">Historico!$E$8*(1+D6)</f>
        <v>1363.44</v>
      </c>
      <c r="E20" s="17" t="n">
        <f aca="false">Historico!$E$8*(1+E6)</f>
        <v>1363.44</v>
      </c>
      <c r="F20" s="17" t="n">
        <f aca="false">Historico!$E$8*(1+F6)</f>
        <v>1363.44</v>
      </c>
      <c r="G20" s="17" t="n">
        <f aca="false">Historico!$E$8*(1+G6)</f>
        <v>1363.44</v>
      </c>
      <c r="H20" s="17" t="n">
        <f aca="false">Historico!$E$8*(1+H6)</f>
        <v>1363.44</v>
      </c>
      <c r="I20" s="17" t="n">
        <f aca="false">Historico!$E$8*(1+I6)</f>
        <v>1363.44</v>
      </c>
      <c r="J20" s="17" t="n">
        <f aca="false">Historico!$E$8*(1+J6)</f>
        <v>1206.12</v>
      </c>
    </row>
    <row r="21" customFormat="false" ht="15" hidden="false" customHeight="false" outlineLevel="0" collapsed="false">
      <c r="A21" s="9" t="s">
        <v>47</v>
      </c>
      <c r="B21" s="17" t="n">
        <f aca="false">B20*(Historico!$E$9/Historico!$E$8+B11)</f>
        <v>654.42</v>
      </c>
      <c r="C21" s="17" t="n">
        <f aca="false">C20*(Historico!$E$9/Historico!$E$8+C11)</f>
        <v>654.42</v>
      </c>
      <c r="D21" s="17" t="n">
        <f aca="false">D20*(Historico!$E$9/Historico!$E$8+D11)</f>
        <v>654.42</v>
      </c>
      <c r="E21" s="17" t="n">
        <f aca="false">E20*(Historico!$E$9/Historico!$E$8+E11)</f>
        <v>654.42</v>
      </c>
      <c r="F21" s="17" t="n">
        <f aca="false">F20*(Historico!$E$9/Historico!$E$8+F11)</f>
        <v>654.42</v>
      </c>
      <c r="G21" s="17" t="n">
        <f aca="false">G20*(Historico!$E$9/Historico!$E$8+G11)</f>
        <v>654.42</v>
      </c>
      <c r="H21" s="17" t="n">
        <f aca="false">H20*(Historico!$E$9/Historico!$E$8+H11)</f>
        <v>654.42</v>
      </c>
      <c r="I21" s="17" t="n">
        <f aca="false">I20*(Historico!$E$9/Historico!$E$8+I11)</f>
        <v>681.6888</v>
      </c>
      <c r="J21" s="17" t="n">
        <f aca="false">J20*(Historico!$E$9/Historico!$E$8+J11)</f>
        <v>578.91</v>
      </c>
    </row>
    <row r="22" customFormat="false" ht="15" hidden="false" customHeight="false" outlineLevel="0" collapsed="false">
      <c r="A22" s="9" t="s">
        <v>48</v>
      </c>
      <c r="B22" s="16" t="n">
        <f aca="false">B20-B21</f>
        <v>709.02</v>
      </c>
      <c r="C22" s="16" t="n">
        <f aca="false">C20-C21</f>
        <v>709.02</v>
      </c>
      <c r="D22" s="16" t="n">
        <f aca="false">D20-D21</f>
        <v>709.02</v>
      </c>
      <c r="E22" s="16" t="n">
        <f aca="false">E20-E21</f>
        <v>709.02</v>
      </c>
      <c r="F22" s="16" t="n">
        <f aca="false">F20-F21</f>
        <v>709.02</v>
      </c>
      <c r="G22" s="16" t="n">
        <f aca="false">G20-G21</f>
        <v>709.02</v>
      </c>
      <c r="H22" s="16" t="n">
        <f aca="false">H20-H21</f>
        <v>709.02</v>
      </c>
      <c r="I22" s="16" t="n">
        <f aca="false">I20-I21</f>
        <v>681.7512</v>
      </c>
      <c r="J22" s="16" t="n">
        <f aca="false">J20-J21</f>
        <v>627.21</v>
      </c>
    </row>
    <row r="23" customFormat="false" ht="15" hidden="false" customHeight="false" outlineLevel="0" collapsed="false">
      <c r="A23" s="9" t="s">
        <v>141</v>
      </c>
      <c r="B23" s="17" t="n">
        <f aca="false">B12+B20*(Historico!$E$11-B12)/Historico!$E$8</f>
        <v>525.85</v>
      </c>
      <c r="C23" s="17" t="n">
        <f aca="false">C12+C20*(Historico!$E$11-C12)/Historico!$E$8</f>
        <v>525.85</v>
      </c>
      <c r="D23" s="17" t="n">
        <f aca="false">D12+D20*(Historico!$E$11-D12)/Historico!$E$8</f>
        <v>525.85</v>
      </c>
      <c r="E23" s="17" t="n">
        <f aca="false">E12+E20*(Historico!$E$11-E12)/Historico!$E$8</f>
        <v>525.85</v>
      </c>
      <c r="F23" s="17" t="n">
        <f aca="false">F12+F20*(Historico!$E$11-F12)/Historico!$E$8</f>
        <v>510.85</v>
      </c>
      <c r="G23" s="17" t="n">
        <f aca="false">G12+G20*(Historico!$E$11-G12)/Historico!$E$8</f>
        <v>525.85</v>
      </c>
      <c r="H23" s="17" t="n">
        <f aca="false">H12+H20*(Historico!$E$11-H12)/Historico!$E$8</f>
        <v>525.85</v>
      </c>
      <c r="I23" s="17" t="n">
        <f aca="false">I12+I20*(Historico!$E$11-I12)/Historico!$E$8</f>
        <v>525.85</v>
      </c>
      <c r="J23" s="17" t="n">
        <f aca="false">J12+J20*(Historico!$E$11-J12)/Historico!$E$8</f>
        <v>465.175</v>
      </c>
    </row>
    <row r="24" customFormat="false" ht="15" hidden="false" customHeight="false" outlineLevel="0" collapsed="false">
      <c r="A24" s="9" t="s">
        <v>50</v>
      </c>
      <c r="B24" s="17" t="n">
        <f aca="false">B15</f>
        <v>46</v>
      </c>
      <c r="C24" s="17" t="n">
        <f aca="false">C15</f>
        <v>46</v>
      </c>
      <c r="D24" s="17" t="n">
        <f aca="false">D15</f>
        <v>46</v>
      </c>
      <c r="E24" s="17" t="n">
        <f aca="false">E15</f>
        <v>46</v>
      </c>
      <c r="F24" s="17" t="n">
        <f aca="false">F15</f>
        <v>46</v>
      </c>
      <c r="G24" s="17" t="n">
        <f aca="false">G15</f>
        <v>46</v>
      </c>
      <c r="H24" s="17" t="n">
        <f aca="false">H15</f>
        <v>46</v>
      </c>
      <c r="I24" s="17" t="n">
        <f aca="false">I15</f>
        <v>46</v>
      </c>
      <c r="J24" s="17" t="n">
        <f aca="false">J15</f>
        <v>46</v>
      </c>
    </row>
    <row r="25" customFormat="false" ht="15" hidden="false" customHeight="false" outlineLevel="0" collapsed="false">
      <c r="A25" s="9" t="s">
        <v>51</v>
      </c>
      <c r="B25" s="16" t="n">
        <f aca="false">B22-B23-B24</f>
        <v>137.17</v>
      </c>
      <c r="C25" s="16" t="n">
        <f aca="false">C22-C23-C24</f>
        <v>137.17</v>
      </c>
      <c r="D25" s="16" t="n">
        <f aca="false">D22-D23-D24</f>
        <v>137.17</v>
      </c>
      <c r="E25" s="16" t="n">
        <f aca="false">E22-E23-E24</f>
        <v>137.17</v>
      </c>
      <c r="F25" s="16" t="n">
        <f aca="false">F22-F23-F24</f>
        <v>152.17</v>
      </c>
      <c r="G25" s="16" t="n">
        <f aca="false">G22-G23-G24</f>
        <v>137.17</v>
      </c>
      <c r="H25" s="16" t="n">
        <f aca="false">H22-H23-H24</f>
        <v>137.17</v>
      </c>
      <c r="I25" s="16" t="n">
        <f aca="false">I22-I23-I24</f>
        <v>109.9012</v>
      </c>
      <c r="J25" s="16" t="n">
        <f aca="false">J22-J23-J24</f>
        <v>116.035</v>
      </c>
    </row>
    <row r="26" customFormat="false" ht="15" hidden="false" customHeight="false" outlineLevel="0" collapsed="false">
      <c r="A26" s="9" t="s">
        <v>142</v>
      </c>
      <c r="B26" s="17" t="n">
        <f aca="false">B47*B16</f>
        <v>18.8369144594369</v>
      </c>
      <c r="C26" s="17" t="n">
        <f aca="false">C47*C16</f>
        <v>12.2822876061969</v>
      </c>
      <c r="D26" s="17" t="n">
        <f aca="false">D47*D16</f>
        <v>17.3328719601386</v>
      </c>
      <c r="E26" s="17" t="n">
        <f aca="false">E47*E16</f>
        <v>15.646006346142</v>
      </c>
      <c r="F26" s="17" t="n">
        <f aca="false">F47*F16</f>
        <v>18.2197230551391</v>
      </c>
      <c r="G26" s="17" t="n">
        <f aca="false">G47*G16</f>
        <v>14.1419638468437</v>
      </c>
      <c r="H26" s="17" t="n">
        <f aca="false">H47*H16</f>
        <v>9.52845809971726</v>
      </c>
      <c r="I26" s="17" t="n">
        <f aca="false">I47*I16</f>
        <v>22.3670334197026</v>
      </c>
      <c r="J26" s="17" t="n">
        <f aca="false">J47*J16</f>
        <v>17.5859162085624</v>
      </c>
    </row>
    <row r="27" customFormat="false" ht="15" hidden="false" customHeight="false" outlineLevel="0" collapsed="false">
      <c r="A27" s="9" t="s">
        <v>143</v>
      </c>
      <c r="B27" s="17" t="n">
        <f aca="false">B25-B26</f>
        <v>118.333085540563</v>
      </c>
      <c r="C27" s="17" t="n">
        <f aca="false">C25-C26</f>
        <v>124.887712393803</v>
      </c>
      <c r="D27" s="17" t="n">
        <f aca="false">D25-D26</f>
        <v>119.837128039861</v>
      </c>
      <c r="E27" s="17" t="n">
        <f aca="false">E25-E26</f>
        <v>121.523993653858</v>
      </c>
      <c r="F27" s="17" t="n">
        <f aca="false">F25-F26</f>
        <v>133.950276944861</v>
      </c>
      <c r="G27" s="17" t="n">
        <f aca="false">G25-G26</f>
        <v>123.028036153156</v>
      </c>
      <c r="H27" s="17" t="n">
        <f aca="false">H25-H26</f>
        <v>127.641541900283</v>
      </c>
      <c r="I27" s="17" t="n">
        <f aca="false">I25-I26</f>
        <v>87.5341665802975</v>
      </c>
      <c r="J27" s="17" t="n">
        <f aca="false">J25-J26</f>
        <v>98.4490837914375</v>
      </c>
    </row>
    <row r="28" customFormat="false" ht="15" hidden="false" customHeight="false" outlineLevel="0" collapsed="false">
      <c r="A28" s="9" t="s">
        <v>52</v>
      </c>
      <c r="B28" s="17" t="n">
        <f aca="false">B27*B17</f>
        <v>46.3865695319008</v>
      </c>
      <c r="C28" s="17" t="n">
        <f aca="false">C27*C17</f>
        <v>48.9559832583709</v>
      </c>
      <c r="D28" s="17" t="n">
        <f aca="false">D27*D17</f>
        <v>46.9761541916257</v>
      </c>
      <c r="E28" s="17" t="n">
        <f aca="false">E27*E17</f>
        <v>47.6374055123124</v>
      </c>
      <c r="F28" s="17" t="n">
        <f aca="false">F27*F17</f>
        <v>52.5085085623855</v>
      </c>
      <c r="G28" s="17" t="n">
        <f aca="false">G27*G17</f>
        <v>48.2269901720373</v>
      </c>
      <c r="H28" s="17" t="n">
        <f aca="false">H27*H17</f>
        <v>50.0354844249109</v>
      </c>
      <c r="I28" s="17" t="n">
        <f aca="false">I27*I17</f>
        <v>34.3133932994766</v>
      </c>
      <c r="J28" s="17" t="n">
        <f aca="false">J27*J17</f>
        <v>38.5920408462435</v>
      </c>
    </row>
    <row r="29" customFormat="false" ht="15" hidden="false" customHeight="false" outlineLevel="0" collapsed="false">
      <c r="A29" s="9" t="s">
        <v>4</v>
      </c>
      <c r="B29" s="16" t="n">
        <f aca="false">B27-B28</f>
        <v>71.9465160086624</v>
      </c>
      <c r="C29" s="16" t="n">
        <f aca="false">C27-C28</f>
        <v>75.9317291354323</v>
      </c>
      <c r="D29" s="16" t="n">
        <f aca="false">D27-D28</f>
        <v>72.8609738482357</v>
      </c>
      <c r="E29" s="16" t="n">
        <f aca="false">E27-E28</f>
        <v>73.8865881415457</v>
      </c>
      <c r="F29" s="16" t="n">
        <f aca="false">F27-F28</f>
        <v>81.4417683824754</v>
      </c>
      <c r="G29" s="16" t="n">
        <f aca="false">G27-G28</f>
        <v>74.8010459811191</v>
      </c>
      <c r="H29" s="16" t="n">
        <f aca="false">H27-H28</f>
        <v>77.6060574753719</v>
      </c>
      <c r="I29" s="16" t="n">
        <f aca="false">I27-I28</f>
        <v>53.2207732808208</v>
      </c>
      <c r="J29" s="16" t="n">
        <f aca="false">J27-J28</f>
        <v>59.857042945194</v>
      </c>
    </row>
    <row r="31" customFormat="false" ht="15" hidden="false" customHeight="false" outlineLevel="0" collapsed="false">
      <c r="A31" s="3" t="s">
        <v>144</v>
      </c>
    </row>
    <row r="32" customFormat="false" ht="15" hidden="false" customHeight="false" outlineLevel="0" collapsed="false">
      <c r="A32" s="9" t="s">
        <v>145</v>
      </c>
      <c r="B32" s="17" t="n">
        <f aca="false">B13*B20</f>
        <v>109.0752</v>
      </c>
      <c r="C32" s="17" t="n">
        <f aca="false">C13*C20</f>
        <v>12.22</v>
      </c>
      <c r="D32" s="17" t="n">
        <f aca="false">D13*D20</f>
        <v>109.0752</v>
      </c>
      <c r="E32" s="17" t="n">
        <f aca="false">E13*E20</f>
        <v>109.0752</v>
      </c>
      <c r="F32" s="17" t="n">
        <f aca="false">F13*F20</f>
        <v>109.0752</v>
      </c>
      <c r="G32" s="17" t="n">
        <f aca="false">G13*G20</f>
        <v>109.0752</v>
      </c>
      <c r="H32" s="17" t="n">
        <f aca="false">H13*H20</f>
        <v>40.9032</v>
      </c>
      <c r="I32" s="17" t="n">
        <f aca="false">I13*I20</f>
        <v>109.0752</v>
      </c>
      <c r="J32" s="17" t="n">
        <f aca="false">J13*J20</f>
        <v>96.4896</v>
      </c>
    </row>
    <row r="33" customFormat="false" ht="15" hidden="false" customHeight="false" outlineLevel="0" collapsed="false">
      <c r="A33" s="9" t="s">
        <v>146</v>
      </c>
      <c r="B33" s="17" t="n">
        <f aca="false">MAX(-B57,0)</f>
        <v>0</v>
      </c>
      <c r="C33" s="17" t="n">
        <f aca="false">MAX(-C57,0)</f>
        <v>0</v>
      </c>
      <c r="D33" s="17" t="n">
        <f aca="false">MAX(-D57,0)</f>
        <v>0</v>
      </c>
      <c r="E33" s="17" t="n">
        <f aca="false">MAX(-E57,0)</f>
        <v>0</v>
      </c>
      <c r="F33" s="17" t="n">
        <f aca="false">MAX(-F57,0)</f>
        <v>0</v>
      </c>
      <c r="G33" s="17" t="n">
        <f aca="false">MAX(-G57,0)</f>
        <v>0</v>
      </c>
      <c r="H33" s="17" t="n">
        <f aca="false">MAX(-H57,0)</f>
        <v>0</v>
      </c>
      <c r="I33" s="17" t="n">
        <f aca="false">MAX(-I57,0)</f>
        <v>0</v>
      </c>
      <c r="J33" s="17" t="n">
        <f aca="false">MAX(-J57,0)</f>
        <v>0</v>
      </c>
    </row>
    <row r="34" customFormat="false" ht="15" hidden="false" customHeight="false" outlineLevel="0" collapsed="false">
      <c r="A34" s="9" t="s">
        <v>147</v>
      </c>
      <c r="B34" s="17" t="n">
        <f aca="false">B32+B33</f>
        <v>109.0752</v>
      </c>
      <c r="C34" s="17" t="n">
        <f aca="false">C32+C33</f>
        <v>12.22</v>
      </c>
      <c r="D34" s="17" t="n">
        <f aca="false">D32+D33</f>
        <v>109.0752</v>
      </c>
      <c r="E34" s="17" t="n">
        <f aca="false">E32+E33</f>
        <v>109.0752</v>
      </c>
      <c r="F34" s="17" t="n">
        <f aca="false">F32+F33</f>
        <v>109.0752</v>
      </c>
      <c r="G34" s="17" t="n">
        <f aca="false">G32+G33</f>
        <v>109.0752</v>
      </c>
      <c r="H34" s="17" t="n">
        <f aca="false">H32+H33</f>
        <v>40.9032</v>
      </c>
      <c r="I34" s="17" t="n">
        <f aca="false">I32+I33</f>
        <v>109.0752</v>
      </c>
      <c r="J34" s="17" t="n">
        <f aca="false">J32+J33</f>
        <v>96.4896</v>
      </c>
    </row>
    <row r="35" customFormat="false" ht="15" hidden="false" customHeight="false" outlineLevel="0" collapsed="false">
      <c r="A35" s="9" t="s">
        <v>55</v>
      </c>
      <c r="B35" s="17" t="n">
        <f aca="false">B20*B8/365</f>
        <v>190.32</v>
      </c>
      <c r="C35" s="17" t="n">
        <f aca="false">C20*C8/365</f>
        <v>190.32</v>
      </c>
      <c r="D35" s="17" t="n">
        <f aca="false">D20*D8/365</f>
        <v>168.095342465753</v>
      </c>
      <c r="E35" s="17" t="n">
        <f aca="false">E20*E8/365</f>
        <v>190.32</v>
      </c>
      <c r="F35" s="17" t="n">
        <f aca="false">F20*F8/365</f>
        <v>190.32</v>
      </c>
      <c r="G35" s="17" t="n">
        <f aca="false">G20*G8/365</f>
        <v>168.095342465753</v>
      </c>
      <c r="H35" s="17" t="n">
        <f aca="false">H20*H8/365</f>
        <v>168.095342465753</v>
      </c>
      <c r="I35" s="17" t="n">
        <f aca="false">I20*I8/365</f>
        <v>190.32</v>
      </c>
      <c r="J35" s="17" t="n">
        <f aca="false">J20*J8/365</f>
        <v>168.36</v>
      </c>
    </row>
    <row r="36" customFormat="false" ht="15" hidden="false" customHeight="false" outlineLevel="0" collapsed="false">
      <c r="A36" s="9" t="s">
        <v>56</v>
      </c>
      <c r="B36" s="17" t="n">
        <f aca="false">Historico!$E$8*(1+B7)*(Historico!$E$9/Historico!$E$8+B11)*B9/365</f>
        <v>853.97</v>
      </c>
      <c r="C36" s="17" t="n">
        <f aca="false">Historico!$E$8*(1+C7)*(Historico!$E$9/Historico!$E$8+C11)*C9/365</f>
        <v>853.97</v>
      </c>
      <c r="D36" s="17" t="n">
        <f aca="false">Historico!$E$8*(1+D7)*(Historico!$E$9/Historico!$E$8+D11)*D9/365</f>
        <v>853.97</v>
      </c>
      <c r="E36" s="17" t="n">
        <f aca="false">Historico!$E$8*(1+E7)*(Historico!$E$9/Historico!$E$8+E11)*E9/365</f>
        <v>806.819178082192</v>
      </c>
      <c r="F36" s="17" t="n">
        <f aca="false">Historico!$E$8*(1+F7)*(Historico!$E$9/Historico!$E$8+F11)*F9/365</f>
        <v>853.97</v>
      </c>
      <c r="G36" s="17" t="n">
        <f aca="false">Historico!$E$8*(1+G7)*(Historico!$E$9/Historico!$E$8+G11)*G9/365</f>
        <v>806.819178082192</v>
      </c>
      <c r="H36" s="17" t="n">
        <f aca="false">Historico!$E$8*(1+H7)*(Historico!$E$9/Historico!$E$8+H11)*H9/365</f>
        <v>806.819178082192</v>
      </c>
      <c r="I36" s="17" t="n">
        <f aca="false">Historico!$E$8*(1+I7)*(Historico!$E$9/Historico!$E$8+I11)*I9/365</f>
        <v>889.553779737783</v>
      </c>
      <c r="J36" s="17" t="n">
        <f aca="false">Historico!$E$8*(1+J7)*(Historico!$E$9/Historico!$E$8+J11)*J9/365</f>
        <v>853.97</v>
      </c>
    </row>
    <row r="37" customFormat="false" ht="15" hidden="false" customHeight="false" outlineLevel="0" collapsed="false">
      <c r="A37" s="9" t="s">
        <v>57</v>
      </c>
      <c r="B37" s="17" t="n">
        <f aca="false">B20*Historico!$E$21/Historico!$E$8</f>
        <v>27.17</v>
      </c>
      <c r="C37" s="17" t="n">
        <f aca="false">C20*Historico!$E$21/Historico!$E$8</f>
        <v>27.17</v>
      </c>
      <c r="D37" s="17" t="n">
        <f aca="false">D20*Historico!$E$21/Historico!$E$8</f>
        <v>27.17</v>
      </c>
      <c r="E37" s="17" t="n">
        <f aca="false">E20*Historico!$E$21/Historico!$E$8</f>
        <v>27.17</v>
      </c>
      <c r="F37" s="17" t="n">
        <f aca="false">F20*Historico!$E$21/Historico!$E$8</f>
        <v>27.17</v>
      </c>
      <c r="G37" s="17" t="n">
        <f aca="false">G20*Historico!$E$21/Historico!$E$8</f>
        <v>27.17</v>
      </c>
      <c r="H37" s="17" t="n">
        <f aca="false">H20*Historico!$E$21/Historico!$E$8</f>
        <v>27.17</v>
      </c>
      <c r="I37" s="17" t="n">
        <f aca="false">I20*Historico!$E$21/Historico!$E$8</f>
        <v>27.17</v>
      </c>
      <c r="J37" s="17" t="n">
        <f aca="false">J20*Historico!$E$21/Historico!$E$8</f>
        <v>24.035</v>
      </c>
    </row>
    <row r="38" customFormat="false" ht="15" hidden="false" customHeight="false" outlineLevel="0" collapsed="false">
      <c r="A38" s="9" t="s">
        <v>58</v>
      </c>
      <c r="B38" s="16" t="n">
        <f aca="false">SUM(B34:B37)</f>
        <v>1180.5352</v>
      </c>
      <c r="C38" s="16" t="n">
        <f aca="false">SUM(C34:C37)</f>
        <v>1083.68</v>
      </c>
      <c r="D38" s="16" t="n">
        <f aca="false">SUM(D34:D37)</f>
        <v>1158.31054246575</v>
      </c>
      <c r="E38" s="16" t="n">
        <f aca="false">SUM(E34:E37)</f>
        <v>1133.38437808219</v>
      </c>
      <c r="F38" s="16" t="n">
        <f aca="false">SUM(F34:F37)</f>
        <v>1180.5352</v>
      </c>
      <c r="G38" s="16" t="n">
        <f aca="false">SUM(G34:G37)</f>
        <v>1111.15972054795</v>
      </c>
      <c r="H38" s="16" t="n">
        <f aca="false">SUM(H34:H37)</f>
        <v>1042.98772054795</v>
      </c>
      <c r="I38" s="16" t="n">
        <f aca="false">SUM(I34:I37)</f>
        <v>1216.11897973778</v>
      </c>
      <c r="J38" s="16" t="n">
        <f aca="false">SUM(J34:J37)</f>
        <v>1142.8546</v>
      </c>
    </row>
    <row r="39" customFormat="false" ht="15" hidden="false" customHeight="false" outlineLevel="0" collapsed="false">
      <c r="A39" s="9" t="s">
        <v>59</v>
      </c>
      <c r="B39" s="17" t="n">
        <f aca="false">Historico!$E$23+B14-B15</f>
        <v>376.9</v>
      </c>
      <c r="C39" s="17" t="n">
        <f aca="false">Historico!$E$23+C14-C15</f>
        <v>376.9</v>
      </c>
      <c r="D39" s="17" t="n">
        <f aca="false">Historico!$E$23+D14-D15</f>
        <v>376.9</v>
      </c>
      <c r="E39" s="17" t="n">
        <f aca="false">Historico!$E$23+E14-E15</f>
        <v>376.9</v>
      </c>
      <c r="F39" s="17" t="n">
        <f aca="false">Historico!$E$23+F14-F15</f>
        <v>376.9</v>
      </c>
      <c r="G39" s="17" t="n">
        <f aca="false">Historico!$E$23+G14-G15</f>
        <v>376.9</v>
      </c>
      <c r="H39" s="17" t="n">
        <f aca="false">Historico!$E$23+H14-H15</f>
        <v>376.9</v>
      </c>
      <c r="I39" s="17" t="n">
        <f aca="false">Historico!$E$23+I14-I15</f>
        <v>376.9</v>
      </c>
      <c r="J39" s="17" t="n">
        <f aca="false">Historico!$E$23+J14-J15</f>
        <v>376.9</v>
      </c>
    </row>
    <row r="40" customFormat="false" ht="15" hidden="false" customHeight="false" outlineLevel="0" collapsed="false">
      <c r="A40" s="9" t="s">
        <v>60</v>
      </c>
      <c r="B40" s="16" t="n">
        <f aca="false">B38+B39</f>
        <v>1557.4352</v>
      </c>
      <c r="C40" s="16" t="n">
        <f aca="false">C38+C39</f>
        <v>1460.58</v>
      </c>
      <c r="D40" s="16" t="n">
        <f aca="false">D38+D39</f>
        <v>1535.21054246575</v>
      </c>
      <c r="E40" s="16" t="n">
        <f aca="false">E38+E39</f>
        <v>1510.28437808219</v>
      </c>
      <c r="F40" s="16" t="n">
        <f aca="false">F38+F39</f>
        <v>1557.4352</v>
      </c>
      <c r="G40" s="16" t="n">
        <f aca="false">G38+G39</f>
        <v>1488.05972054795</v>
      </c>
      <c r="H40" s="16" t="n">
        <f aca="false">H38+H39</f>
        <v>1419.88772054795</v>
      </c>
      <c r="I40" s="16" t="n">
        <f aca="false">I38+I39</f>
        <v>1593.01897973778</v>
      </c>
      <c r="J40" s="16" t="n">
        <f aca="false">J38+J39</f>
        <v>1519.7546</v>
      </c>
    </row>
    <row r="42" customFormat="false" ht="15" hidden="false" customHeight="false" outlineLevel="0" collapsed="false">
      <c r="A42" s="9" t="s">
        <v>67</v>
      </c>
      <c r="B42" s="17" t="n">
        <f aca="false">Historico!$E$33*(1+B7)</f>
        <v>240.63</v>
      </c>
      <c r="C42" s="17" t="n">
        <f aca="false">Historico!$E$33*(1+C7)</f>
        <v>240.63</v>
      </c>
      <c r="D42" s="17" t="n">
        <f aca="false">Historico!$E$33*(1+D7)</f>
        <v>240.63</v>
      </c>
      <c r="E42" s="17" t="n">
        <f aca="false">Historico!$E$33*(1+E7)</f>
        <v>240.63</v>
      </c>
      <c r="F42" s="17" t="n">
        <f aca="false">Historico!$E$33*(1+F7)</f>
        <v>240.63</v>
      </c>
      <c r="G42" s="17" t="n">
        <f aca="false">Historico!$E$33*(1+G7)</f>
        <v>240.63</v>
      </c>
      <c r="H42" s="17" t="n">
        <f aca="false">Historico!$E$33*(1+H7)</f>
        <v>240.63</v>
      </c>
      <c r="I42" s="17" t="n">
        <f aca="false">Historico!$E$33*(1+I7)</f>
        <v>240.63</v>
      </c>
      <c r="J42" s="17" t="n">
        <f aca="false">Historico!$E$33*(1+J7)</f>
        <v>240.63</v>
      </c>
    </row>
    <row r="43" customFormat="false" ht="15" hidden="false" customHeight="false" outlineLevel="0" collapsed="false">
      <c r="A43" s="9" t="s">
        <v>148</v>
      </c>
      <c r="B43" s="17" t="n">
        <f aca="false">B42*B10/365</f>
        <v>6.5</v>
      </c>
      <c r="C43" s="17" t="n">
        <f aca="false">C42*C10/365</f>
        <v>6.5</v>
      </c>
      <c r="D43" s="17" t="n">
        <f aca="false">D42*D10/365</f>
        <v>6.5</v>
      </c>
      <c r="E43" s="17" t="n">
        <f aca="false">E42*E10/365</f>
        <v>6.5</v>
      </c>
      <c r="F43" s="17" t="n">
        <f aca="false">F42*F10/365</f>
        <v>6.5</v>
      </c>
      <c r="G43" s="17" t="n">
        <f aca="false">G42*G10/365</f>
        <v>6.5</v>
      </c>
      <c r="H43" s="17" t="n">
        <f aca="false">H42*H10/365</f>
        <v>6.5</v>
      </c>
      <c r="I43" s="17" t="n">
        <f aca="false">I42*I10/365</f>
        <v>6.5</v>
      </c>
      <c r="J43" s="17" t="n">
        <f aca="false">J42*J10/365</f>
        <v>6.5</v>
      </c>
    </row>
    <row r="44" customFormat="false" ht="15" hidden="false" customHeight="false" outlineLevel="0" collapsed="false">
      <c r="A44" s="9" t="s">
        <v>62</v>
      </c>
      <c r="B44" s="17" t="n">
        <f aca="false">B20*Historico!$E$27/Historico!$E$8</f>
        <v>31.72</v>
      </c>
      <c r="C44" s="17" t="n">
        <f aca="false">C20*Historico!$E$27/Historico!$E$8</f>
        <v>31.72</v>
      </c>
      <c r="D44" s="17" t="n">
        <f aca="false">D20*Historico!$E$27/Historico!$E$8</f>
        <v>31.72</v>
      </c>
      <c r="E44" s="17" t="n">
        <f aca="false">E20*Historico!$E$27/Historico!$E$8</f>
        <v>31.72</v>
      </c>
      <c r="F44" s="17" t="n">
        <f aca="false">F20*Historico!$E$27/Historico!$E$8</f>
        <v>31.72</v>
      </c>
      <c r="G44" s="17" t="n">
        <f aca="false">G20*Historico!$E$27/Historico!$E$8</f>
        <v>31.72</v>
      </c>
      <c r="H44" s="17" t="n">
        <f aca="false">H20*Historico!$E$27/Historico!$E$8</f>
        <v>31.72</v>
      </c>
      <c r="I44" s="17" t="n">
        <f aca="false">I20*Historico!$E$27/Historico!$E$8</f>
        <v>31.72</v>
      </c>
      <c r="J44" s="17" t="n">
        <f aca="false">J20*Historico!$E$27/Historico!$E$8</f>
        <v>28.06</v>
      </c>
    </row>
    <row r="45" customFormat="false" ht="15" hidden="false" customHeight="false" outlineLevel="0" collapsed="false">
      <c r="A45" s="9" t="s">
        <v>63</v>
      </c>
      <c r="B45" s="17" t="n">
        <f aca="false">B20*Historico!$E$28/Historico!$E$8</f>
        <v>23.27</v>
      </c>
      <c r="C45" s="17" t="n">
        <f aca="false">C20*Historico!$E$28/Historico!$E$8</f>
        <v>23.27</v>
      </c>
      <c r="D45" s="17" t="n">
        <f aca="false">D20*Historico!$E$28/Historico!$E$8</f>
        <v>23.27</v>
      </c>
      <c r="E45" s="17" t="n">
        <f aca="false">E20*Historico!$E$28/Historico!$E$8</f>
        <v>23.27</v>
      </c>
      <c r="F45" s="17" t="n">
        <f aca="false">F20*Historico!$E$28/Historico!$E$8</f>
        <v>23.27</v>
      </c>
      <c r="G45" s="17" t="n">
        <f aca="false">G20*Historico!$E$28/Historico!$E$8</f>
        <v>23.27</v>
      </c>
      <c r="H45" s="17" t="n">
        <f aca="false">H20*Historico!$E$28/Historico!$E$8</f>
        <v>23.27</v>
      </c>
      <c r="I45" s="17" t="n">
        <f aca="false">I20*Historico!$E$28/Historico!$E$8</f>
        <v>23.27</v>
      </c>
      <c r="J45" s="17" t="n">
        <f aca="false">J20*Historico!$E$28/Historico!$E$8</f>
        <v>20.585</v>
      </c>
    </row>
    <row r="46" customFormat="false" ht="15" hidden="false" customHeight="false" outlineLevel="0" collapsed="false">
      <c r="A46" s="9" t="s">
        <v>64</v>
      </c>
      <c r="B46" s="16" t="n">
        <f aca="false">SUM(B43:B45)</f>
        <v>61.49</v>
      </c>
      <c r="C46" s="16" t="n">
        <f aca="false">SUM(C43:C45)</f>
        <v>61.49</v>
      </c>
      <c r="D46" s="16" t="n">
        <f aca="false">SUM(D43:D45)</f>
        <v>61.49</v>
      </c>
      <c r="E46" s="16" t="n">
        <f aca="false">SUM(E43:E45)</f>
        <v>61.49</v>
      </c>
      <c r="F46" s="16" t="n">
        <f aca="false">SUM(F43:F45)</f>
        <v>61.49</v>
      </c>
      <c r="G46" s="16" t="n">
        <f aca="false">SUM(G43:G45)</f>
        <v>61.49</v>
      </c>
      <c r="H46" s="16" t="n">
        <f aca="false">SUM(H43:H45)</f>
        <v>61.49</v>
      </c>
      <c r="I46" s="16" t="n">
        <f aca="false">SUM(I43:I45)</f>
        <v>61.49</v>
      </c>
      <c r="J46" s="16" t="n">
        <f aca="false">SUM(J43:J45)</f>
        <v>55.145</v>
      </c>
    </row>
    <row r="47" customFormat="false" ht="15" hidden="false" customHeight="false" outlineLevel="0" collapsed="false">
      <c r="A47" s="9" t="s">
        <v>149</v>
      </c>
      <c r="B47" s="33" t="n">
        <f aca="false">MAX(B57,0)</f>
        <v>289.798683991337</v>
      </c>
      <c r="C47" s="33" t="n">
        <f aca="false">MAX(C57,0)</f>
        <v>188.958270864567</v>
      </c>
      <c r="D47" s="33" t="n">
        <f aca="false">MAX(D57,0)</f>
        <v>266.659568617518</v>
      </c>
      <c r="E47" s="33" t="n">
        <f aca="false">MAX(E57,0)</f>
        <v>240.707789940646</v>
      </c>
      <c r="F47" s="33" t="n">
        <f aca="false">MAX(F57,0)</f>
        <v>280.303431617524</v>
      </c>
      <c r="G47" s="33" t="n">
        <f aca="false">MAX(G57,0)</f>
        <v>217.568674566826</v>
      </c>
      <c r="H47" s="33" t="n">
        <f aca="false">MAX(H57,0)</f>
        <v>146.591663072573</v>
      </c>
      <c r="I47" s="33" t="n">
        <f aca="false">MAX(I57,0)</f>
        <v>344.108206456963</v>
      </c>
      <c r="J47" s="33" t="n">
        <f aca="false">MAX(J57,0)</f>
        <v>270.552557054806</v>
      </c>
    </row>
    <row r="48" customFormat="false" ht="15" hidden="false" customHeight="false" outlineLevel="0" collapsed="false">
      <c r="A48" s="9" t="s">
        <v>150</v>
      </c>
      <c r="B48" s="17" t="n">
        <f aca="false">Historico!$E$30+B29</f>
        <v>1206.14651600866</v>
      </c>
      <c r="C48" s="17" t="n">
        <f aca="false">Historico!$E$30+C29</f>
        <v>1210.13172913543</v>
      </c>
      <c r="D48" s="17" t="n">
        <f aca="false">Historico!$E$30+D29</f>
        <v>1207.06097384824</v>
      </c>
      <c r="E48" s="17" t="n">
        <f aca="false">Historico!$E$30+E29</f>
        <v>1208.08658814155</v>
      </c>
      <c r="F48" s="17" t="n">
        <f aca="false">Historico!$E$30+F29</f>
        <v>1215.64176838248</v>
      </c>
      <c r="G48" s="17" t="n">
        <f aca="false">Historico!$E$30+G29</f>
        <v>1209.00104598112</v>
      </c>
      <c r="H48" s="17" t="n">
        <f aca="false">Historico!$E$30+H29</f>
        <v>1211.80605747537</v>
      </c>
      <c r="I48" s="17" t="n">
        <f aca="false">Historico!$E$30+I29</f>
        <v>1187.42077328082</v>
      </c>
      <c r="J48" s="17" t="n">
        <f aca="false">Historico!$E$30+J29</f>
        <v>1194.05704294519</v>
      </c>
    </row>
    <row r="49" customFormat="false" ht="15" hidden="false" customHeight="false" outlineLevel="0" collapsed="false">
      <c r="A49" s="9" t="s">
        <v>151</v>
      </c>
      <c r="B49" s="16" t="n">
        <f aca="false">B46+B47+B48</f>
        <v>1557.4352</v>
      </c>
      <c r="C49" s="16" t="n">
        <f aca="false">C46+C47+C48</f>
        <v>1460.58</v>
      </c>
      <c r="D49" s="16" t="n">
        <f aca="false">D46+D47+D48</f>
        <v>1535.21054246575</v>
      </c>
      <c r="E49" s="16" t="n">
        <f aca="false">E46+E47+E48</f>
        <v>1510.28437808219</v>
      </c>
      <c r="F49" s="16" t="n">
        <f aca="false">F46+F47+F48</f>
        <v>1557.4352</v>
      </c>
      <c r="G49" s="16" t="n">
        <f aca="false">G46+G47+G48</f>
        <v>1488.05972054795</v>
      </c>
      <c r="H49" s="16" t="n">
        <f aca="false">H46+H47+H48</f>
        <v>1419.88772054795</v>
      </c>
      <c r="I49" s="16" t="n">
        <f aca="false">I46+I47+I48</f>
        <v>1593.01897973778</v>
      </c>
      <c r="J49" s="16" t="n">
        <f aca="false">J46+J47+J48</f>
        <v>1519.7546</v>
      </c>
    </row>
    <row r="50" customFormat="false" ht="15" hidden="false" customHeight="false" outlineLevel="0" collapsed="false">
      <c r="A50" s="9" t="s">
        <v>152</v>
      </c>
      <c r="B50" s="27" t="n">
        <f aca="false">ROUND(B40-B49,6)</f>
        <v>0</v>
      </c>
      <c r="C50" s="27" t="n">
        <f aca="false">ROUND(C40-C49,6)</f>
        <v>0</v>
      </c>
      <c r="D50" s="27" t="n">
        <f aca="false">ROUND(D40-D49,6)</f>
        <v>0</v>
      </c>
      <c r="E50" s="27" t="n">
        <f aca="false">ROUND(E40-E49,6)</f>
        <v>0</v>
      </c>
      <c r="F50" s="27" t="n">
        <f aca="false">ROUND(F40-F49,6)</f>
        <v>0</v>
      </c>
      <c r="G50" s="27" t="n">
        <f aca="false">ROUND(G40-G49,6)</f>
        <v>0</v>
      </c>
      <c r="H50" s="27" t="n">
        <f aca="false">ROUND(H40-H49,6)</f>
        <v>0</v>
      </c>
      <c r="I50" s="27" t="n">
        <f aca="false">ROUND(I40-I49,6)</f>
        <v>0</v>
      </c>
      <c r="J50" s="27" t="n">
        <f aca="false">ROUND(J40-J49,6)</f>
        <v>0</v>
      </c>
    </row>
    <row r="52" customFormat="false" ht="15" hidden="false" customHeight="false" outlineLevel="0" collapsed="false">
      <c r="A52" s="3" t="s">
        <v>153</v>
      </c>
    </row>
    <row r="53" customFormat="false" ht="15" hidden="false" customHeight="false" outlineLevel="0" collapsed="false">
      <c r="A53" s="9" t="s">
        <v>154</v>
      </c>
      <c r="B53" s="17" t="n">
        <f aca="false">B32+B35+B36+B37+B39</f>
        <v>1557.4352</v>
      </c>
      <c r="C53" s="17" t="n">
        <f aca="false">C32+C35+C36+C37+C39</f>
        <v>1460.58</v>
      </c>
      <c r="D53" s="17" t="n">
        <f aca="false">D32+D35+D36+D37+D39</f>
        <v>1535.21054246575</v>
      </c>
      <c r="E53" s="17" t="n">
        <f aca="false">E32+E35+E36+E37+E39</f>
        <v>1510.28437808219</v>
      </c>
      <c r="F53" s="17" t="n">
        <f aca="false">F32+F35+F36+F37+F39</f>
        <v>1557.4352</v>
      </c>
      <c r="G53" s="17" t="n">
        <f aca="false">G32+G35+G36+G37+G39</f>
        <v>1488.05972054795</v>
      </c>
      <c r="H53" s="17" t="n">
        <f aca="false">H32+H35+H36+H37+H39</f>
        <v>1419.88772054795</v>
      </c>
      <c r="I53" s="17" t="n">
        <f aca="false">I32+I35+I36+I37+I39</f>
        <v>1593.01897973778</v>
      </c>
      <c r="J53" s="17" t="n">
        <f aca="false">J32+J35+J36+J37+J39</f>
        <v>1519.7546</v>
      </c>
    </row>
    <row r="54" customFormat="false" ht="15" hidden="false" customHeight="false" outlineLevel="0" collapsed="false">
      <c r="A54" s="9" t="s">
        <v>155</v>
      </c>
      <c r="B54" s="17" t="n">
        <f aca="false">B46</f>
        <v>61.49</v>
      </c>
      <c r="C54" s="17" t="n">
        <f aca="false">C46</f>
        <v>61.49</v>
      </c>
      <c r="D54" s="17" t="n">
        <f aca="false">D46</f>
        <v>61.49</v>
      </c>
      <c r="E54" s="17" t="n">
        <f aca="false">E46</f>
        <v>61.49</v>
      </c>
      <c r="F54" s="17" t="n">
        <f aca="false">F46</f>
        <v>61.49</v>
      </c>
      <c r="G54" s="17" t="n">
        <f aca="false">G46</f>
        <v>61.49</v>
      </c>
      <c r="H54" s="17" t="n">
        <f aca="false">H46</f>
        <v>61.49</v>
      </c>
      <c r="I54" s="17" t="n">
        <f aca="false">I46</f>
        <v>61.49</v>
      </c>
      <c r="J54" s="17" t="n">
        <f aca="false">J46</f>
        <v>55.145</v>
      </c>
    </row>
    <row r="55" customFormat="false" ht="15" hidden="false" customHeight="false" outlineLevel="0" collapsed="false">
      <c r="A55" s="9" t="s">
        <v>156</v>
      </c>
      <c r="B55" s="17" t="n">
        <f aca="false">Historico!$E$30+B25*(1-B17)</f>
        <v>1217.59936</v>
      </c>
      <c r="C55" s="17" t="n">
        <f aca="false">Historico!$E$30+C25*(1-C17)</f>
        <v>1217.59936</v>
      </c>
      <c r="D55" s="17" t="n">
        <f aca="false">Historico!$E$30+D25*(1-D17)</f>
        <v>1217.59936</v>
      </c>
      <c r="E55" s="17" t="n">
        <f aca="false">Historico!$E$30+E25*(1-E17)</f>
        <v>1217.59936</v>
      </c>
      <c r="F55" s="17" t="n">
        <f aca="false">Historico!$E$30+F25*(1-F17)</f>
        <v>1226.71936</v>
      </c>
      <c r="G55" s="17" t="n">
        <f aca="false">Historico!$E$30+G25*(1-G17)</f>
        <v>1217.59936</v>
      </c>
      <c r="H55" s="17" t="n">
        <f aca="false">Historico!$E$30+H25*(1-H17)</f>
        <v>1217.59936</v>
      </c>
      <c r="I55" s="17" t="n">
        <f aca="false">Historico!$E$30+I25*(1-I17)</f>
        <v>1201.0199296</v>
      </c>
      <c r="J55" s="17" t="n">
        <f aca="false">Historico!$E$30+J25*(1-J17)</f>
        <v>1204.74928</v>
      </c>
    </row>
    <row r="56" customFormat="false" ht="15" hidden="false" customHeight="false" outlineLevel="0" collapsed="false">
      <c r="A56" s="9" t="s">
        <v>157</v>
      </c>
      <c r="B56" s="15" t="n">
        <f aca="false">B53-B54-B55</f>
        <v>278.34584</v>
      </c>
      <c r="C56" s="15" t="n">
        <f aca="false">C53-C54-C55</f>
        <v>181.49064</v>
      </c>
      <c r="D56" s="15" t="n">
        <f aca="false">D53-D54-D55</f>
        <v>256.121182465753</v>
      </c>
      <c r="E56" s="15" t="n">
        <f aca="false">E53-E54-E55</f>
        <v>231.195018082192</v>
      </c>
      <c r="F56" s="15" t="n">
        <f aca="false">F53-F54-F55</f>
        <v>269.22584</v>
      </c>
      <c r="G56" s="15" t="n">
        <f aca="false">G53-G54-G55</f>
        <v>208.970360547945</v>
      </c>
      <c r="H56" s="15" t="n">
        <f aca="false">H53-H54-H55</f>
        <v>140.798360547945</v>
      </c>
      <c r="I56" s="15" t="n">
        <f aca="false">I53-I54-I55</f>
        <v>330.509050137783</v>
      </c>
      <c r="J56" s="15" t="n">
        <f aca="false">J53-J54-J55</f>
        <v>259.86032</v>
      </c>
    </row>
    <row r="57" customFormat="false" ht="15" hidden="false" customHeight="false" outlineLevel="0" collapsed="false">
      <c r="A57" s="9" t="s">
        <v>158</v>
      </c>
      <c r="B57" s="33" t="n">
        <f aca="false">IF(B56&gt;0,B56/(1-B16*(1-B17)),B56)</f>
        <v>289.798683991337</v>
      </c>
      <c r="C57" s="33" t="n">
        <f aca="false">IF(C56&gt;0,C56/(1-C16*(1-C17)),C56)</f>
        <v>188.958270864567</v>
      </c>
      <c r="D57" s="33" t="n">
        <f aca="false">IF(D56&gt;0,D56/(1-D16*(1-D17)),D56)</f>
        <v>266.659568617518</v>
      </c>
      <c r="E57" s="33" t="n">
        <f aca="false">IF(E56&gt;0,E56/(1-E16*(1-E17)),E56)</f>
        <v>240.707789940646</v>
      </c>
      <c r="F57" s="33" t="n">
        <f aca="false">IF(F56&gt;0,F56/(1-F16*(1-F17)),F56)</f>
        <v>280.303431617524</v>
      </c>
      <c r="G57" s="33" t="n">
        <f aca="false">IF(G56&gt;0,G56/(1-G16*(1-G17)),G56)</f>
        <v>217.568674566826</v>
      </c>
      <c r="H57" s="33" t="n">
        <f aca="false">IF(H56&gt;0,H56/(1-H16*(1-H17)),H56)</f>
        <v>146.591663072573</v>
      </c>
      <c r="I57" s="33" t="n">
        <f aca="false">IF(I56&gt;0,I56/(1-I16*(1-I17)),I56)</f>
        <v>344.108206456963</v>
      </c>
      <c r="J57" s="33" t="n">
        <f aca="false">IF(J56&gt;0,J56/(1-J16*(1-J17)),J56)</f>
        <v>270.552557054806</v>
      </c>
    </row>
    <row r="59" customFormat="false" ht="15" hidden="false" customHeight="false" outlineLevel="0" collapsed="false">
      <c r="A59" s="3" t="s">
        <v>159</v>
      </c>
    </row>
    <row r="60" customFormat="false" ht="15" hidden="false" customHeight="false" outlineLevel="0" collapsed="false">
      <c r="A60" s="9" t="s">
        <v>4</v>
      </c>
      <c r="B60" s="17" t="n">
        <f aca="false">B29</f>
        <v>71.9465160086624</v>
      </c>
      <c r="C60" s="17" t="n">
        <f aca="false">C29</f>
        <v>75.9317291354323</v>
      </c>
      <c r="D60" s="17" t="n">
        <f aca="false">D29</f>
        <v>72.8609738482357</v>
      </c>
      <c r="E60" s="17" t="n">
        <f aca="false">E29</f>
        <v>73.8865881415457</v>
      </c>
      <c r="F60" s="17" t="n">
        <f aca="false">F29</f>
        <v>81.4417683824754</v>
      </c>
      <c r="G60" s="17" t="n">
        <f aca="false">G29</f>
        <v>74.8010459811191</v>
      </c>
      <c r="H60" s="17" t="n">
        <f aca="false">H29</f>
        <v>77.6060574753719</v>
      </c>
      <c r="I60" s="17" t="n">
        <f aca="false">I29</f>
        <v>53.2207732808208</v>
      </c>
      <c r="J60" s="17" t="n">
        <f aca="false">J29</f>
        <v>59.857042945194</v>
      </c>
    </row>
    <row r="61" customFormat="false" ht="15" hidden="false" customHeight="false" outlineLevel="0" collapsed="false">
      <c r="A61" s="9" t="s">
        <v>104</v>
      </c>
      <c r="B61" s="17" t="n">
        <f aca="false">B24</f>
        <v>46</v>
      </c>
      <c r="C61" s="17" t="n">
        <f aca="false">C24</f>
        <v>46</v>
      </c>
      <c r="D61" s="17" t="n">
        <f aca="false">D24</f>
        <v>46</v>
      </c>
      <c r="E61" s="17" t="n">
        <f aca="false">E24</f>
        <v>46</v>
      </c>
      <c r="F61" s="17" t="n">
        <f aca="false">F24</f>
        <v>46</v>
      </c>
      <c r="G61" s="17" t="n">
        <f aca="false">G24</f>
        <v>46</v>
      </c>
      <c r="H61" s="17" t="n">
        <f aca="false">H24</f>
        <v>46</v>
      </c>
      <c r="I61" s="17" t="n">
        <f aca="false">I24</f>
        <v>46</v>
      </c>
      <c r="J61" s="17" t="n">
        <f aca="false">J24</f>
        <v>46</v>
      </c>
    </row>
    <row r="62" customFormat="false" ht="15" hidden="false" customHeight="false" outlineLevel="0" collapsed="false">
      <c r="A62" s="9" t="s">
        <v>160</v>
      </c>
      <c r="B62" s="17" t="n">
        <f aca="false">-((B35-Historico!$E$19)+(B36-Historico!$E$20)+(B37-Historico!$E$21)-(B46-Historico!$E$29))</f>
        <v>-233.07</v>
      </c>
      <c r="C62" s="17" t="n">
        <f aca="false">-((C35-Historico!$E$19)+(C36-Historico!$E$20)+(C37-Historico!$E$21)-(C46-Historico!$E$29))</f>
        <v>-233.07</v>
      </c>
      <c r="D62" s="17" t="n">
        <f aca="false">-((D35-Historico!$E$19)+(D36-Historico!$E$20)+(D37-Historico!$E$21)-(D46-Historico!$E$29))</f>
        <v>-210.845342465753</v>
      </c>
      <c r="E62" s="17" t="n">
        <f aca="false">-((E35-Historico!$E$19)+(E36-Historico!$E$20)+(E37-Historico!$E$21)-(E46-Historico!$E$29))</f>
        <v>-185.919178082192</v>
      </c>
      <c r="F62" s="17" t="n">
        <f aca="false">-((F35-Historico!$E$19)+(F36-Historico!$E$20)+(F37-Historico!$E$21)-(F46-Historico!$E$29))</f>
        <v>-233.07</v>
      </c>
      <c r="G62" s="17" t="n">
        <f aca="false">-((G35-Historico!$E$19)+(G36-Historico!$E$20)+(G37-Historico!$E$21)-(G46-Historico!$E$29))</f>
        <v>-163.694520547945</v>
      </c>
      <c r="H62" s="17" t="n">
        <f aca="false">-((H35-Historico!$E$19)+(H36-Historico!$E$20)+(H37-Historico!$E$21)-(H46-Historico!$E$29))</f>
        <v>-163.694520547945</v>
      </c>
      <c r="I62" s="17" t="n">
        <f aca="false">-((I35-Historico!$E$19)+(I36-Historico!$E$20)+(I37-Historico!$E$21)-(I46-Historico!$E$29))</f>
        <v>-268.653779737783</v>
      </c>
      <c r="J62" s="17" t="n">
        <f aca="false">-((J35-Historico!$E$19)+(J36-Historico!$E$20)+(J37-Historico!$E$21)-(J46-Historico!$E$29))</f>
        <v>-214.32</v>
      </c>
    </row>
    <row r="63" customFormat="false" ht="15" hidden="false" customHeight="false" outlineLevel="0" collapsed="false">
      <c r="A63" s="9" t="s">
        <v>109</v>
      </c>
      <c r="B63" s="16" t="n">
        <f aca="false">B60+B61+B62</f>
        <v>-115.123483991338</v>
      </c>
      <c r="C63" s="16" t="n">
        <f aca="false">C60+C61+C62</f>
        <v>-111.138270864568</v>
      </c>
      <c r="D63" s="16" t="n">
        <f aca="false">D60+D61+D62</f>
        <v>-91.9843686175176</v>
      </c>
      <c r="E63" s="16" t="n">
        <f aca="false">E60+E61+E62</f>
        <v>-66.0325899406462</v>
      </c>
      <c r="F63" s="16" t="n">
        <f aca="false">F60+F61+F62</f>
        <v>-105.628231617525</v>
      </c>
      <c r="G63" s="16" t="n">
        <f aca="false">G60+G61+G62</f>
        <v>-42.8934745668262</v>
      </c>
      <c r="H63" s="16" t="n">
        <f aca="false">H60+H61+H62</f>
        <v>-40.0884630725733</v>
      </c>
      <c r="I63" s="16" t="n">
        <f aca="false">I60+I61+I62</f>
        <v>-169.433006456962</v>
      </c>
      <c r="J63" s="16" t="n">
        <f aca="false">J60+J61+J62</f>
        <v>-108.462957054806</v>
      </c>
    </row>
    <row r="64" customFormat="false" ht="15" hidden="false" customHeight="false" outlineLevel="0" collapsed="false">
      <c r="A64" s="9" t="s">
        <v>110</v>
      </c>
      <c r="B64" s="17" t="n">
        <f aca="false">-B14</f>
        <v>-75</v>
      </c>
      <c r="C64" s="17" t="n">
        <f aca="false">-C14</f>
        <v>-75</v>
      </c>
      <c r="D64" s="17" t="n">
        <f aca="false">-D14</f>
        <v>-75</v>
      </c>
      <c r="E64" s="17" t="n">
        <f aca="false">-E14</f>
        <v>-75</v>
      </c>
      <c r="F64" s="17" t="n">
        <f aca="false">-F14</f>
        <v>-75</v>
      </c>
      <c r="G64" s="17" t="n">
        <f aca="false">-G14</f>
        <v>-75</v>
      </c>
      <c r="H64" s="17" t="n">
        <f aca="false">-H14</f>
        <v>-75</v>
      </c>
      <c r="I64" s="17" t="n">
        <f aca="false">-I14</f>
        <v>-75</v>
      </c>
      <c r="J64" s="17" t="n">
        <f aca="false">-J14</f>
        <v>-75</v>
      </c>
    </row>
    <row r="65" customFormat="false" ht="15" hidden="false" customHeight="false" outlineLevel="0" collapsed="false">
      <c r="A65" s="9" t="s">
        <v>111</v>
      </c>
      <c r="B65" s="16" t="n">
        <f aca="false">B63+B64</f>
        <v>-190.123483991338</v>
      </c>
      <c r="C65" s="16" t="n">
        <f aca="false">C63+C64</f>
        <v>-186.138270864568</v>
      </c>
      <c r="D65" s="16" t="n">
        <f aca="false">D63+D64</f>
        <v>-166.984368617518</v>
      </c>
      <c r="E65" s="16" t="n">
        <f aca="false">E63+E64</f>
        <v>-141.032589940646</v>
      </c>
      <c r="F65" s="16" t="n">
        <f aca="false">F63+F64</f>
        <v>-180.628231617525</v>
      </c>
      <c r="G65" s="16" t="n">
        <f aca="false">G63+G64</f>
        <v>-117.893474566826</v>
      </c>
      <c r="H65" s="16" t="n">
        <f aca="false">H63+H64</f>
        <v>-115.088463072573</v>
      </c>
      <c r="I65" s="16" t="n">
        <f aca="false">I63+I64</f>
        <v>-244.433006456962</v>
      </c>
      <c r="J65" s="16" t="n">
        <f aca="false">J63+J64</f>
        <v>-183.462957054806</v>
      </c>
    </row>
    <row r="67" customFormat="false" ht="15" hidden="false" customHeight="false" outlineLevel="0" collapsed="false">
      <c r="A67" s="3" t="s">
        <v>161</v>
      </c>
    </row>
    <row r="68" customFormat="false" ht="15" hidden="false" customHeight="false" outlineLevel="0" collapsed="false">
      <c r="A68" s="9" t="s">
        <v>77</v>
      </c>
      <c r="B68" s="18" t="n">
        <f aca="false">B20/Historico!$E$8-1</f>
        <v>0.3</v>
      </c>
      <c r="C68" s="18" t="n">
        <f aca="false">C20/Historico!$E$8-1</f>
        <v>0.3</v>
      </c>
      <c r="D68" s="18" t="n">
        <f aca="false">D20/Historico!$E$8-1</f>
        <v>0.3</v>
      </c>
      <c r="E68" s="18" t="n">
        <f aca="false">E20/Historico!$E$8-1</f>
        <v>0.3</v>
      </c>
      <c r="F68" s="18" t="n">
        <f aca="false">F20/Historico!$E$8-1</f>
        <v>0.3</v>
      </c>
      <c r="G68" s="18" t="n">
        <f aca="false">G20/Historico!$E$8-1</f>
        <v>0.3</v>
      </c>
      <c r="H68" s="18" t="n">
        <f aca="false">H20/Historico!$E$8-1</f>
        <v>0.3</v>
      </c>
      <c r="I68" s="18" t="n">
        <f aca="false">I20/Historico!$E$8-1</f>
        <v>0.3</v>
      </c>
      <c r="J68" s="18" t="n">
        <f aca="false">J20/Historico!$E$8-1</f>
        <v>0.15</v>
      </c>
    </row>
    <row r="69" customFormat="false" ht="15" hidden="false" customHeight="false" outlineLevel="0" collapsed="false">
      <c r="A69" s="9" t="s">
        <v>78</v>
      </c>
      <c r="B69" s="18" t="n">
        <f aca="false">B22/B20</f>
        <v>0.520022883295195</v>
      </c>
      <c r="C69" s="18" t="n">
        <f aca="false">C22/C20</f>
        <v>0.520022883295195</v>
      </c>
      <c r="D69" s="18" t="n">
        <f aca="false">D22/D20</f>
        <v>0.520022883295195</v>
      </c>
      <c r="E69" s="18" t="n">
        <f aca="false">E22/E20</f>
        <v>0.520022883295195</v>
      </c>
      <c r="F69" s="18" t="n">
        <f aca="false">F22/F20</f>
        <v>0.520022883295195</v>
      </c>
      <c r="G69" s="18" t="n">
        <f aca="false">G22/G20</f>
        <v>0.520022883295195</v>
      </c>
      <c r="H69" s="18" t="n">
        <f aca="false">H22/H20</f>
        <v>0.520022883295195</v>
      </c>
      <c r="I69" s="18" t="n">
        <f aca="false">I22/I20</f>
        <v>0.500022883295195</v>
      </c>
      <c r="J69" s="18" t="n">
        <f aca="false">J22/J20</f>
        <v>0.520022883295195</v>
      </c>
    </row>
    <row r="70" customFormat="false" ht="15" hidden="false" customHeight="false" outlineLevel="0" collapsed="false">
      <c r="A70" s="9" t="s">
        <v>80</v>
      </c>
      <c r="B70" s="18" t="n">
        <f aca="false">B25/B20</f>
        <v>0.100605820571496</v>
      </c>
      <c r="C70" s="18" t="n">
        <f aca="false">C25/C20</f>
        <v>0.100605820571496</v>
      </c>
      <c r="D70" s="18" t="n">
        <f aca="false">D25/D20</f>
        <v>0.100605820571496</v>
      </c>
      <c r="E70" s="18" t="n">
        <f aca="false">E25/E20</f>
        <v>0.100605820571496</v>
      </c>
      <c r="F70" s="18" t="n">
        <f aca="false">F25/F20</f>
        <v>0.111607404799624</v>
      </c>
      <c r="G70" s="18" t="n">
        <f aca="false">G25/G20</f>
        <v>0.100605820571496</v>
      </c>
      <c r="H70" s="18" t="n">
        <f aca="false">H25/H20</f>
        <v>0.100605820571496</v>
      </c>
      <c r="I70" s="18" t="n">
        <f aca="false">I25/I20</f>
        <v>0.0806058205714956</v>
      </c>
      <c r="J70" s="18" t="n">
        <f aca="false">J25/J20</f>
        <v>0.096205186880244</v>
      </c>
    </row>
    <row r="71" customFormat="false" ht="15" hidden="false" customHeight="false" outlineLevel="0" collapsed="false">
      <c r="A71" s="9" t="s">
        <v>5</v>
      </c>
      <c r="B71" s="18" t="n">
        <f aca="false">B29/B20</f>
        <v>0.052768377052648</v>
      </c>
      <c r="C71" s="18" t="n">
        <f aca="false">C29/C20</f>
        <v>0.0556912875780616</v>
      </c>
      <c r="D71" s="18" t="n">
        <f aca="false">D29/D20</f>
        <v>0.0534390760489906</v>
      </c>
      <c r="E71" s="18" t="n">
        <f aca="false">E29/E20</f>
        <v>0.0541913015178854</v>
      </c>
      <c r="F71" s="18" t="n">
        <f aca="false">F29/F20</f>
        <v>0.0597325649698376</v>
      </c>
      <c r="G71" s="18" t="n">
        <f aca="false">G29/G20</f>
        <v>0.054862000514228</v>
      </c>
      <c r="H71" s="18" t="n">
        <f aca="false">H29/H20</f>
        <v>0.0569193051952209</v>
      </c>
      <c r="I71" s="18" t="n">
        <f aca="false">I29/I20</f>
        <v>0.0390341879956733</v>
      </c>
      <c r="J71" s="18" t="n">
        <f aca="false">J29/J20</f>
        <v>0.0496277675067108</v>
      </c>
    </row>
    <row r="72" customFormat="false" ht="15" hidden="false" customHeight="false" outlineLevel="0" collapsed="false">
      <c r="A72" s="9" t="s">
        <v>162</v>
      </c>
      <c r="B72" s="18" t="n">
        <f aca="false">B29/B40</f>
        <v>0.0461955117032557</v>
      </c>
      <c r="C72" s="18" t="n">
        <f aca="false">C29/C40</f>
        <v>0.0519873811331336</v>
      </c>
      <c r="D72" s="18" t="n">
        <f aca="false">D29/D40</f>
        <v>0.0474599228137212</v>
      </c>
      <c r="E72" s="18" t="n">
        <f aca="false">E29/E40</f>
        <v>0.0489223017954866</v>
      </c>
      <c r="F72" s="18" t="n">
        <f aca="false">F29/F40</f>
        <v>0.0522922355822415</v>
      </c>
      <c r="G72" s="18" t="n">
        <f aca="false">G29/G40</f>
        <v>0.0502675026735992</v>
      </c>
      <c r="H72" s="18" t="n">
        <f aca="false">H29/H40</f>
        <v>0.0546564748411397</v>
      </c>
      <c r="I72" s="18" t="n">
        <f aca="false">I29/I40</f>
        <v>0.0334087502771506</v>
      </c>
      <c r="J72" s="18" t="n">
        <f aca="false">J29/J40</f>
        <v>0.0393859922813815</v>
      </c>
    </row>
    <row r="73" customFormat="false" ht="15" hidden="false" customHeight="false" outlineLevel="0" collapsed="false">
      <c r="A73" s="9" t="s">
        <v>6</v>
      </c>
      <c r="B73" s="18" t="n">
        <f aca="false">B29/B48</f>
        <v>0.0596498974658114</v>
      </c>
      <c r="C73" s="18" t="n">
        <f aca="false">C29/C48</f>
        <v>0.0627466641087752</v>
      </c>
      <c r="D73" s="18" t="n">
        <f aca="false">D29/D48</f>
        <v>0.0603622977022837</v>
      </c>
      <c r="E73" s="18" t="n">
        <f aca="false">E29/E48</f>
        <v>0.061160010273112</v>
      </c>
      <c r="F73" s="18" t="n">
        <f aca="false">F29/F48</f>
        <v>0.0669948750533978</v>
      </c>
      <c r="G73" s="18" t="n">
        <f aca="false">G29/G48</f>
        <v>0.0618701251167381</v>
      </c>
      <c r="H73" s="18" t="n">
        <f aca="false">H29/H48</f>
        <v>0.0640416484111767</v>
      </c>
      <c r="I73" s="18" t="n">
        <f aca="false">I29/I48</f>
        <v>0.0448204835879474</v>
      </c>
      <c r="J73" s="18" t="n">
        <f aca="false">J29/J48</f>
        <v>0.0501291318524901</v>
      </c>
    </row>
    <row r="74" customFormat="false" ht="15" hidden="false" customHeight="false" outlineLevel="0" collapsed="false">
      <c r="A74" s="9" t="s">
        <v>163</v>
      </c>
      <c r="B74" s="20" t="n">
        <f aca="false">B35/B20*365</f>
        <v>50.9496567505721</v>
      </c>
      <c r="C74" s="20" t="n">
        <f aca="false">C35/C20*365</f>
        <v>50.9496567505721</v>
      </c>
      <c r="D74" s="20" t="n">
        <f aca="false">D35/D20*365</f>
        <v>45</v>
      </c>
      <c r="E74" s="20" t="n">
        <f aca="false">E35/E20*365</f>
        <v>50.9496567505721</v>
      </c>
      <c r="F74" s="20" t="n">
        <f aca="false">F35/F20*365</f>
        <v>50.9496567505721</v>
      </c>
      <c r="G74" s="20" t="n">
        <f aca="false">G35/G20*365</f>
        <v>45</v>
      </c>
      <c r="H74" s="20" t="n">
        <f aca="false">H35/H20*365</f>
        <v>45</v>
      </c>
      <c r="I74" s="20" t="n">
        <f aca="false">I35/I20*365</f>
        <v>50.9496567505721</v>
      </c>
      <c r="J74" s="20" t="n">
        <f aca="false">J35/J20*365</f>
        <v>50.9496567505721</v>
      </c>
    </row>
    <row r="75" customFormat="false" ht="15" hidden="false" customHeight="false" outlineLevel="0" collapsed="false">
      <c r="A75" s="9" t="s">
        <v>164</v>
      </c>
      <c r="B75" s="20" t="n">
        <f aca="false">B36/B21*365</f>
        <v>476.298172427493</v>
      </c>
      <c r="C75" s="20" t="n">
        <f aca="false">C36/C21*365</f>
        <v>476.298172427493</v>
      </c>
      <c r="D75" s="20" t="n">
        <f aca="false">D36/D21*365</f>
        <v>476.298172427493</v>
      </c>
      <c r="E75" s="20" t="n">
        <f aca="false">E36/E21*365</f>
        <v>450</v>
      </c>
      <c r="F75" s="20" t="n">
        <f aca="false">F36/F21*365</f>
        <v>476.298172427493</v>
      </c>
      <c r="G75" s="20" t="n">
        <f aca="false">G36/G21*365</f>
        <v>450</v>
      </c>
      <c r="H75" s="20" t="n">
        <f aca="false">H36/H21*365</f>
        <v>450</v>
      </c>
      <c r="I75" s="20" t="n">
        <f aca="false">I36/I21*365</f>
        <v>476.298172427493</v>
      </c>
      <c r="J75" s="20" t="n">
        <f aca="false">J36/J21*365</f>
        <v>538.424021004992</v>
      </c>
    </row>
    <row r="76" customFormat="false" ht="15" hidden="false" customHeight="false" outlineLevel="0" collapsed="false">
      <c r="A76" s="9" t="s">
        <v>165</v>
      </c>
      <c r="B76" s="20" t="n">
        <f aca="false">B43/B42*365</f>
        <v>9.85953538627769</v>
      </c>
      <c r="C76" s="20" t="n">
        <f aca="false">C43/C42*365</f>
        <v>9.85953538627769</v>
      </c>
      <c r="D76" s="20" t="n">
        <f aca="false">D43/D42*365</f>
        <v>9.85953538627769</v>
      </c>
      <c r="E76" s="20" t="n">
        <f aca="false">E43/E42*365</f>
        <v>9.85953538627769</v>
      </c>
      <c r="F76" s="20" t="n">
        <f aca="false">F43/F42*365</f>
        <v>9.85953538627769</v>
      </c>
      <c r="G76" s="20" t="n">
        <f aca="false">G43/G42*365</f>
        <v>9.85953538627769</v>
      </c>
      <c r="H76" s="20" t="n">
        <f aca="false">H43/H42*365</f>
        <v>9.85953538627769</v>
      </c>
      <c r="I76" s="20" t="n">
        <f aca="false">I43/I42*365</f>
        <v>9.85953538627769</v>
      </c>
      <c r="J76" s="20" t="n">
        <f aca="false">J43/J42*365</f>
        <v>9.85953538627769</v>
      </c>
    </row>
    <row r="77" customFormat="false" ht="15" hidden="false" customHeight="false" outlineLevel="0" collapsed="false">
      <c r="A77" s="9" t="s">
        <v>166</v>
      </c>
      <c r="B77" s="20" t="n">
        <f aca="false">B74+B75-B76</f>
        <v>517.388293791787</v>
      </c>
      <c r="C77" s="20" t="n">
        <f aca="false">C74+C75-C76</f>
        <v>517.388293791787</v>
      </c>
      <c r="D77" s="20" t="n">
        <f aca="false">D74+D75-D76</f>
        <v>511.438637041215</v>
      </c>
      <c r="E77" s="20" t="n">
        <f aca="false">E74+E75-E76</f>
        <v>491.090121364294</v>
      </c>
      <c r="F77" s="20" t="n">
        <f aca="false">F74+F75-F76</f>
        <v>517.388293791787</v>
      </c>
      <c r="G77" s="20" t="n">
        <f aca="false">G74+G75-G76</f>
        <v>485.140464613722</v>
      </c>
      <c r="H77" s="20" t="n">
        <f aca="false">H74+H75-H76</f>
        <v>485.140464613722</v>
      </c>
      <c r="I77" s="20" t="n">
        <f aca="false">I74+I75-I76</f>
        <v>517.388293791787</v>
      </c>
      <c r="J77" s="20" t="n">
        <f aca="false">J74+J75-J76</f>
        <v>579.514142369287</v>
      </c>
    </row>
    <row r="78" customFormat="false" ht="15" hidden="false" customHeight="false" outlineLevel="0" collapsed="false">
      <c r="A78" s="9" t="s">
        <v>167</v>
      </c>
      <c r="B78" s="23" t="n">
        <f aca="false">B20/B39</f>
        <v>3.61751127620058</v>
      </c>
      <c r="C78" s="23" t="n">
        <f aca="false">C20/C39</f>
        <v>3.61751127620058</v>
      </c>
      <c r="D78" s="23" t="n">
        <f aca="false">D20/D39</f>
        <v>3.61751127620058</v>
      </c>
      <c r="E78" s="23" t="n">
        <f aca="false">E20/E39</f>
        <v>3.61751127620058</v>
      </c>
      <c r="F78" s="23" t="n">
        <f aca="false">F20/F39</f>
        <v>3.61751127620058</v>
      </c>
      <c r="G78" s="23" t="n">
        <f aca="false">G20/G39</f>
        <v>3.61751127620058</v>
      </c>
      <c r="H78" s="23" t="n">
        <f aca="false">H20/H39</f>
        <v>3.61751127620058</v>
      </c>
      <c r="I78" s="23" t="n">
        <f aca="false">I20/I39</f>
        <v>3.61751127620058</v>
      </c>
      <c r="J78" s="23" t="n">
        <f aca="false">J20/J39</f>
        <v>3.20010612894667</v>
      </c>
    </row>
    <row r="79" customFormat="false" ht="15" hidden="false" customHeight="false" outlineLevel="0" collapsed="false">
      <c r="A79" s="9" t="s">
        <v>168</v>
      </c>
      <c r="B79" s="18" t="n">
        <f aca="false">B34/B20</f>
        <v>0.08</v>
      </c>
      <c r="C79" s="18" t="n">
        <f aca="false">C34/C20</f>
        <v>0.0089626239511823</v>
      </c>
      <c r="D79" s="18" t="n">
        <f aca="false">D34/D20</f>
        <v>0.08</v>
      </c>
      <c r="E79" s="18" t="n">
        <f aca="false">E34/E20</f>
        <v>0.08</v>
      </c>
      <c r="F79" s="18" t="n">
        <f aca="false">F34/F20</f>
        <v>0.08</v>
      </c>
      <c r="G79" s="18" t="n">
        <f aca="false">G34/G20</f>
        <v>0.08</v>
      </c>
      <c r="H79" s="18" t="n">
        <f aca="false">H34/H20</f>
        <v>0.03</v>
      </c>
      <c r="I79" s="18" t="n">
        <f aca="false">I34/I20</f>
        <v>0.08</v>
      </c>
      <c r="J79" s="18" t="n">
        <f aca="false">J34/J20</f>
        <v>0.08</v>
      </c>
    </row>
    <row r="80" customFormat="false" ht="15" hidden="false" customHeight="false" outlineLevel="0" collapsed="false">
      <c r="A80" s="9" t="s">
        <v>169</v>
      </c>
      <c r="B80" s="23" t="n">
        <f aca="false">B38/(B46+B47)</f>
        <v>3.36058419698231</v>
      </c>
      <c r="C80" s="23" t="n">
        <f aca="false">C38/(C46+C47)</f>
        <v>4.3269613970943</v>
      </c>
      <c r="D80" s="23" t="n">
        <f aca="false">D38/(D46+D47)</f>
        <v>3.52982497385468</v>
      </c>
      <c r="E80" s="23" t="n">
        <f aca="false">E38/(E46+E47)</f>
        <v>3.75047209413675</v>
      </c>
      <c r="F80" s="23" t="n">
        <f aca="false">F38/(F46+F47)</f>
        <v>3.45394349567563</v>
      </c>
      <c r="G80" s="23" t="n">
        <f aca="false">G38/(G46+G47)</f>
        <v>3.98181394028608</v>
      </c>
      <c r="H80" s="23" t="n">
        <f aca="false">H38/(H46+H47)</f>
        <v>5.01239611961473</v>
      </c>
      <c r="I80" s="23" t="n">
        <f aca="false">I38/(I46+I47)</f>
        <v>2.99833421444585</v>
      </c>
      <c r="J80" s="23" t="n">
        <f aca="false">J38/(J46+J47)</f>
        <v>3.50894434190579</v>
      </c>
    </row>
    <row r="81" customFormat="false" ht="15" hidden="false" customHeight="false" outlineLevel="0" collapsed="false">
      <c r="A81" s="9" t="s">
        <v>170</v>
      </c>
      <c r="B81" s="23" t="n">
        <f aca="false">B47/B48</f>
        <v>0.240268226243632</v>
      </c>
      <c r="C81" s="23" t="n">
        <f aca="false">C47/C48</f>
        <v>0.156146860969894</v>
      </c>
      <c r="D81" s="23" t="n">
        <f aca="false">D47/D48</f>
        <v>0.220916403060716</v>
      </c>
      <c r="E81" s="23" t="n">
        <f aca="false">E47/E48</f>
        <v>0.199247133693403</v>
      </c>
      <c r="F81" s="23" t="n">
        <f aca="false">F47/F48</f>
        <v>0.230580619149418</v>
      </c>
      <c r="G81" s="23" t="n">
        <f aca="false">G47/G48</f>
        <v>0.17995739150934</v>
      </c>
      <c r="H81" s="23" t="n">
        <f aca="false">H47/H48</f>
        <v>0.120969574436669</v>
      </c>
      <c r="I81" s="23" t="n">
        <f aca="false">I47/I48</f>
        <v>0.289794666052707</v>
      </c>
      <c r="J81" s="23" t="n">
        <f aca="false">J47/J48</f>
        <v>0.226582606461979</v>
      </c>
    </row>
    <row r="82" customFormat="false" ht="15" hidden="false" customHeight="false" outlineLevel="0" collapsed="false">
      <c r="A82" s="9" t="s">
        <v>171</v>
      </c>
      <c r="B82" s="23" t="n">
        <f aca="false">IF(B26&gt;0,B25/B26,"sin deuda")</f>
        <v>7.28197817616996</v>
      </c>
      <c r="C82" s="23" t="n">
        <f aca="false">IF(C26&gt;0,C25/C26,"sin deuda")</f>
        <v>11.1681149634367</v>
      </c>
      <c r="D82" s="23" t="n">
        <f aca="false">IF(D26&gt;0,D25/D26,"sin deuda")</f>
        <v>7.91386449490064</v>
      </c>
      <c r="E82" s="23" t="n">
        <f aca="false">IF(E26&gt;0,E25/E26,"sin deuda")</f>
        <v>8.76709346560016</v>
      </c>
      <c r="F82" s="23" t="n">
        <f aca="false">IF(F26&gt;0,F25/F26,"sin deuda")</f>
        <v>8.35193814634184</v>
      </c>
      <c r="G82" s="23" t="n">
        <f aca="false">IF(G26&gt;0,G25/G26,"sin deuda")</f>
        <v>9.69950153214503</v>
      </c>
      <c r="H82" s="23" t="n">
        <f aca="false">IF(H26&gt;0,H25/H26,"sin deuda")</f>
        <v>14.3958233918319</v>
      </c>
      <c r="I82" s="23" t="n">
        <f aca="false">IF(I26&gt;0,I25/I26,"sin deuda")</f>
        <v>4.91353493052819</v>
      </c>
      <c r="J82" s="23" t="n">
        <f aca="false">IF(J26&gt;0,J25/J26,"sin deuda")</f>
        <v>6.59817769082193</v>
      </c>
    </row>
    <row r="83" customFormat="false" ht="15" hidden="false" customHeight="false" outlineLevel="0" collapsed="false">
      <c r="A83" s="9" t="s">
        <v>172</v>
      </c>
      <c r="B83" s="23" t="n">
        <f aca="false">B47/(B25+B24)</f>
        <v>1.58212962816693</v>
      </c>
      <c r="C83" s="23" t="n">
        <f aca="false">C47/(C25+C24)</f>
        <v>1.03160053974214</v>
      </c>
      <c r="D83" s="23" t="n">
        <f aca="false">D47/(D25+D24)</f>
        <v>1.45580372668842</v>
      </c>
      <c r="E83" s="23" t="n">
        <f aca="false">E47/(E25+E24)</f>
        <v>1.31412234503819</v>
      </c>
      <c r="F83" s="23" t="n">
        <f aca="false">F47/(F25+F24)</f>
        <v>1.41445946216644</v>
      </c>
      <c r="G83" s="23" t="n">
        <f aca="false">G47/(G25+G24)</f>
        <v>1.18779644355968</v>
      </c>
      <c r="H83" s="23" t="n">
        <f aca="false">H47/(H25+H24)</f>
        <v>0.800303887495622</v>
      </c>
      <c r="I83" s="23" t="n">
        <f aca="false">I47/(I25+I24)</f>
        <v>2.20721974209924</v>
      </c>
      <c r="J83" s="23" t="n">
        <f aca="false">J47/(J25+J24)</f>
        <v>1.66971677140621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7" min="2" style="0" width="15"/>
  </cols>
  <sheetData>
    <row r="1" customFormat="false" ht="16.15" hidden="false" customHeight="false" outlineLevel="0" collapsed="false">
      <c r="A1" s="1" t="s">
        <v>173</v>
      </c>
    </row>
    <row r="2" customFormat="false" ht="15" hidden="false" customHeight="false" outlineLevel="0" collapsed="false">
      <c r="A2" s="2" t="s">
        <v>174</v>
      </c>
    </row>
    <row r="3" customFormat="false" ht="15" hidden="false" customHeight="false" outlineLevel="0" collapsed="false">
      <c r="A3" s="2" t="s">
        <v>121</v>
      </c>
    </row>
    <row r="4" customFormat="false" ht="57.75" hidden="false" customHeight="true" outlineLevel="0" collapsed="false">
      <c r="B4" s="28" t="s">
        <v>175</v>
      </c>
      <c r="C4" s="28" t="s">
        <v>176</v>
      </c>
      <c r="D4" s="28" t="s">
        <v>177</v>
      </c>
      <c r="E4" s="28" t="s">
        <v>178</v>
      </c>
      <c r="F4" s="28" t="s">
        <v>179</v>
      </c>
      <c r="G4" s="28" t="s">
        <v>180</v>
      </c>
      <c r="H4" s="28" t="s">
        <v>181</v>
      </c>
      <c r="I4" s="28" t="s">
        <v>182</v>
      </c>
      <c r="J4" s="28" t="s">
        <v>183</v>
      </c>
      <c r="K4" s="28" t="s">
        <v>184</v>
      </c>
      <c r="L4" s="28" t="s">
        <v>185</v>
      </c>
      <c r="M4" s="28" t="s">
        <v>186</v>
      </c>
      <c r="N4" s="28" t="s">
        <v>187</v>
      </c>
      <c r="O4" s="28" t="s">
        <v>188</v>
      </c>
      <c r="P4" s="28" t="s">
        <v>189</v>
      </c>
      <c r="Q4" s="28" t="s">
        <v>190</v>
      </c>
    </row>
    <row r="5" customFormat="false" ht="15" hidden="false" customHeight="false" outlineLevel="0" collapsed="false">
      <c r="A5" s="3" t="s">
        <v>131</v>
      </c>
    </row>
    <row r="6" customFormat="false" ht="15" hidden="false" customHeight="false" outlineLevel="0" collapsed="false">
      <c r="A6" s="9" t="s">
        <v>77</v>
      </c>
      <c r="B6" s="10" t="n">
        <v>0</v>
      </c>
      <c r="C6" s="10" t="n">
        <v>0.05</v>
      </c>
      <c r="D6" s="10" t="n">
        <v>0.1</v>
      </c>
      <c r="E6" s="10" t="n">
        <v>0.15</v>
      </c>
      <c r="F6" s="10" t="n">
        <v>0.2</v>
      </c>
      <c r="G6" s="10" t="n">
        <v>0.25</v>
      </c>
      <c r="H6" s="10" t="n">
        <v>0.3</v>
      </c>
      <c r="I6" s="10" t="n">
        <v>0.35</v>
      </c>
      <c r="J6" s="10" t="n">
        <v>0</v>
      </c>
      <c r="K6" s="10" t="n">
        <v>0.05</v>
      </c>
      <c r="L6" s="10" t="n">
        <v>0.1</v>
      </c>
      <c r="M6" s="10" t="n">
        <v>0.15</v>
      </c>
      <c r="N6" s="10" t="n">
        <v>0.2</v>
      </c>
      <c r="O6" s="10" t="n">
        <v>0.25</v>
      </c>
      <c r="P6" s="10" t="n">
        <v>0.3</v>
      </c>
      <c r="Q6" s="10" t="n">
        <v>0.35</v>
      </c>
    </row>
    <row r="7" customFormat="false" ht="15" hidden="false" customHeight="false" outlineLevel="0" collapsed="false">
      <c r="A7" s="9" t="s">
        <v>132</v>
      </c>
      <c r="B7" s="18" t="n">
        <f aca="false">B6</f>
        <v>0</v>
      </c>
      <c r="C7" s="18" t="n">
        <f aca="false">C6</f>
        <v>0.05</v>
      </c>
      <c r="D7" s="18" t="n">
        <f aca="false">D6</f>
        <v>0.1</v>
      </c>
      <c r="E7" s="18" t="n">
        <f aca="false">E6</f>
        <v>0.15</v>
      </c>
      <c r="F7" s="18" t="n">
        <f aca="false">F6</f>
        <v>0.2</v>
      </c>
      <c r="G7" s="18" t="n">
        <f aca="false">G6</f>
        <v>0.25</v>
      </c>
      <c r="H7" s="18" t="n">
        <f aca="false">H6</f>
        <v>0.3</v>
      </c>
      <c r="I7" s="18" t="n">
        <f aca="false">I6</f>
        <v>0.35</v>
      </c>
      <c r="J7" s="18" t="n">
        <f aca="false">J6</f>
        <v>0</v>
      </c>
      <c r="K7" s="18" t="n">
        <f aca="false">K6</f>
        <v>0.05</v>
      </c>
      <c r="L7" s="18" t="n">
        <f aca="false">L6</f>
        <v>0.1</v>
      </c>
      <c r="M7" s="18" t="n">
        <f aca="false">M6</f>
        <v>0.15</v>
      </c>
      <c r="N7" s="18" t="n">
        <f aca="false">N6</f>
        <v>0.2</v>
      </c>
      <c r="O7" s="18" t="n">
        <f aca="false">O6</f>
        <v>0.25</v>
      </c>
      <c r="P7" s="18" t="n">
        <f aca="false">P6</f>
        <v>0.3</v>
      </c>
      <c r="Q7" s="18" t="n">
        <f aca="false">Q6</f>
        <v>0.35</v>
      </c>
    </row>
    <row r="8" customFormat="false" ht="15" hidden="false" customHeight="false" outlineLevel="0" collapsed="false">
      <c r="A8" s="9" t="s">
        <v>84</v>
      </c>
      <c r="B8" s="29" t="n">
        <f aca="false">Historico!$E$19/Historico!$E$8*365</f>
        <v>50.9496567505721</v>
      </c>
      <c r="C8" s="29" t="n">
        <f aca="false">Historico!$E$19/Historico!$E$8*365</f>
        <v>50.9496567505721</v>
      </c>
      <c r="D8" s="29" t="n">
        <f aca="false">Historico!$E$19/Historico!$E$8*365</f>
        <v>50.9496567505721</v>
      </c>
      <c r="E8" s="29" t="n">
        <f aca="false">Historico!$E$19/Historico!$E$8*365</f>
        <v>50.9496567505721</v>
      </c>
      <c r="F8" s="29" t="n">
        <f aca="false">Historico!$E$19/Historico!$E$8*365</f>
        <v>50.9496567505721</v>
      </c>
      <c r="G8" s="29" t="n">
        <f aca="false">Historico!$E$19/Historico!$E$8*365</f>
        <v>50.9496567505721</v>
      </c>
      <c r="H8" s="29" t="n">
        <f aca="false">Historico!$E$19/Historico!$E$8*365</f>
        <v>50.9496567505721</v>
      </c>
      <c r="I8" s="29" t="n">
        <f aca="false">Historico!$E$19/Historico!$E$8*365</f>
        <v>50.9496567505721</v>
      </c>
      <c r="J8" s="29" t="n">
        <f aca="false">Historico!$E$19/Historico!$E$8*365</f>
        <v>50.9496567505721</v>
      </c>
      <c r="K8" s="29" t="n">
        <f aca="false">Historico!$E$19/Historico!$E$8*365</f>
        <v>50.9496567505721</v>
      </c>
      <c r="L8" s="29" t="n">
        <f aca="false">Historico!$E$19/Historico!$E$8*365</f>
        <v>50.9496567505721</v>
      </c>
      <c r="M8" s="29" t="n">
        <f aca="false">Historico!$E$19/Historico!$E$8*365</f>
        <v>50.9496567505721</v>
      </c>
      <c r="N8" s="29" t="n">
        <f aca="false">Historico!$E$19/Historico!$E$8*365</f>
        <v>50.9496567505721</v>
      </c>
      <c r="O8" s="29" t="n">
        <f aca="false">Historico!$E$19/Historico!$E$8*365</f>
        <v>50.9496567505721</v>
      </c>
      <c r="P8" s="29" t="n">
        <f aca="false">Historico!$E$19/Historico!$E$8*365</f>
        <v>50.9496567505721</v>
      </c>
      <c r="Q8" s="29" t="n">
        <f aca="false">Historico!$E$19/Historico!$E$8*365</f>
        <v>50.9496567505721</v>
      </c>
    </row>
    <row r="9" customFormat="false" ht="15" hidden="false" customHeight="false" outlineLevel="0" collapsed="false">
      <c r="A9" s="9" t="s">
        <v>133</v>
      </c>
      <c r="B9" s="29" t="n">
        <f aca="false">Historico!$E$20/Historico!$E$9*365</f>
        <v>476.298172427493</v>
      </c>
      <c r="C9" s="29" t="n">
        <f aca="false">Historico!$E$20/Historico!$E$9*365</f>
        <v>476.298172427493</v>
      </c>
      <c r="D9" s="29" t="n">
        <f aca="false">Historico!$E$20/Historico!$E$9*365</f>
        <v>476.298172427493</v>
      </c>
      <c r="E9" s="29" t="n">
        <f aca="false">Historico!$E$20/Historico!$E$9*365</f>
        <v>476.298172427493</v>
      </c>
      <c r="F9" s="29" t="n">
        <f aca="false">Historico!$E$20/Historico!$E$9*365</f>
        <v>476.298172427493</v>
      </c>
      <c r="G9" s="29" t="n">
        <f aca="false">Historico!$E$20/Historico!$E$9*365</f>
        <v>476.298172427493</v>
      </c>
      <c r="H9" s="29" t="n">
        <f aca="false">Historico!$E$20/Historico!$E$9*365</f>
        <v>476.298172427493</v>
      </c>
      <c r="I9" s="29" t="n">
        <f aca="false">Historico!$E$20/Historico!$E$9*365</f>
        <v>476.298172427493</v>
      </c>
      <c r="J9" s="29" t="n">
        <f aca="false">Historico!$E$20/Historico!$E$9*365</f>
        <v>476.298172427493</v>
      </c>
      <c r="K9" s="29" t="n">
        <f aca="false">Historico!$E$20/Historico!$E$9*365</f>
        <v>476.298172427493</v>
      </c>
      <c r="L9" s="29" t="n">
        <f aca="false">Historico!$E$20/Historico!$E$9*365</f>
        <v>476.298172427493</v>
      </c>
      <c r="M9" s="29" t="n">
        <f aca="false">Historico!$E$20/Historico!$E$9*365</f>
        <v>476.298172427493</v>
      </c>
      <c r="N9" s="29" t="n">
        <f aca="false">Historico!$E$20/Historico!$E$9*365</f>
        <v>476.298172427493</v>
      </c>
      <c r="O9" s="29" t="n">
        <f aca="false">Historico!$E$20/Historico!$E$9*365</f>
        <v>476.298172427493</v>
      </c>
      <c r="P9" s="29" t="n">
        <f aca="false">Historico!$E$20/Historico!$E$9*365</f>
        <v>476.298172427493</v>
      </c>
      <c r="Q9" s="29" t="n">
        <f aca="false">Historico!$E$20/Historico!$E$9*365</f>
        <v>476.298172427493</v>
      </c>
    </row>
    <row r="10" customFormat="false" ht="15" hidden="false" customHeight="false" outlineLevel="0" collapsed="false">
      <c r="A10" s="9" t="s">
        <v>86</v>
      </c>
      <c r="B10" s="29" t="n">
        <f aca="false">Historico!$E$26/Historico!$E$33*365</f>
        <v>9.85953538627769</v>
      </c>
      <c r="C10" s="29" t="n">
        <f aca="false">Historico!$E$26/Historico!$E$33*365</f>
        <v>9.85953538627769</v>
      </c>
      <c r="D10" s="29" t="n">
        <f aca="false">Historico!$E$26/Historico!$E$33*365</f>
        <v>9.85953538627769</v>
      </c>
      <c r="E10" s="29" t="n">
        <f aca="false">Historico!$E$26/Historico!$E$33*365</f>
        <v>9.85953538627769</v>
      </c>
      <c r="F10" s="29" t="n">
        <f aca="false">Historico!$E$26/Historico!$E$33*365</f>
        <v>9.85953538627769</v>
      </c>
      <c r="G10" s="29" t="n">
        <f aca="false">Historico!$E$26/Historico!$E$33*365</f>
        <v>9.85953538627769</v>
      </c>
      <c r="H10" s="29" t="n">
        <f aca="false">Historico!$E$26/Historico!$E$33*365</f>
        <v>9.85953538627769</v>
      </c>
      <c r="I10" s="29" t="n">
        <f aca="false">Historico!$E$26/Historico!$E$33*365</f>
        <v>9.85953538627769</v>
      </c>
      <c r="J10" s="29" t="n">
        <f aca="false">Historico!$E$26/Historico!$E$33*365</f>
        <v>9.85953538627769</v>
      </c>
      <c r="K10" s="29" t="n">
        <f aca="false">Historico!$E$26/Historico!$E$33*365</f>
        <v>9.85953538627769</v>
      </c>
      <c r="L10" s="29" t="n">
        <f aca="false">Historico!$E$26/Historico!$E$33*365</f>
        <v>9.85953538627769</v>
      </c>
      <c r="M10" s="29" t="n">
        <f aca="false">Historico!$E$26/Historico!$E$33*365</f>
        <v>9.85953538627769</v>
      </c>
      <c r="N10" s="29" t="n">
        <f aca="false">Historico!$E$26/Historico!$E$33*365</f>
        <v>9.85953538627769</v>
      </c>
      <c r="O10" s="29" t="n">
        <f aca="false">Historico!$E$26/Historico!$E$33*365</f>
        <v>9.85953538627769</v>
      </c>
      <c r="P10" s="29" t="n">
        <f aca="false">Historico!$E$26/Historico!$E$33*365</f>
        <v>9.85953538627769</v>
      </c>
      <c r="Q10" s="29" t="n">
        <f aca="false">Historico!$E$26/Historico!$E$33*365</f>
        <v>9.85953538627769</v>
      </c>
    </row>
    <row r="11" customFormat="false" ht="15" hidden="false" customHeight="false" outlineLevel="0" collapsed="false">
      <c r="A11" s="9" t="s">
        <v>134</v>
      </c>
      <c r="B11" s="12" t="n">
        <v>0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</row>
    <row r="12" customFormat="false" ht="15" hidden="false" customHeight="false" outlineLevel="0" collapsed="false">
      <c r="A12" s="9" t="s">
        <v>135</v>
      </c>
      <c r="B12" s="11" t="n">
        <v>0</v>
      </c>
      <c r="C12" s="11" t="n">
        <v>0</v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0</v>
      </c>
    </row>
    <row r="13" customFormat="false" ht="15" hidden="false" customHeight="false" outlineLevel="0" collapsed="false">
      <c r="A13" s="9" t="s">
        <v>136</v>
      </c>
      <c r="B13" s="7" t="n">
        <f aca="false">Supuestos!$B$8</f>
        <v>0.08</v>
      </c>
      <c r="C13" s="7" t="n">
        <f aca="false">Supuestos!$B$8</f>
        <v>0.08</v>
      </c>
      <c r="D13" s="7" t="n">
        <f aca="false">Supuestos!$B$8</f>
        <v>0.08</v>
      </c>
      <c r="E13" s="7" t="n">
        <f aca="false">Supuestos!$B$8</f>
        <v>0.08</v>
      </c>
      <c r="F13" s="7" t="n">
        <f aca="false">Supuestos!$B$8</f>
        <v>0.08</v>
      </c>
      <c r="G13" s="7" t="n">
        <f aca="false">Supuestos!$B$8</f>
        <v>0.08</v>
      </c>
      <c r="H13" s="7" t="n">
        <f aca="false">Supuestos!$B$8</f>
        <v>0.08</v>
      </c>
      <c r="I13" s="7" t="n">
        <f aca="false">Supuestos!$B$8</f>
        <v>0.08</v>
      </c>
      <c r="J13" s="32" t="n">
        <f aca="false">Supuestos!$B$9</f>
        <v>0.0089626239511823</v>
      </c>
      <c r="K13" s="32" t="n">
        <f aca="false">Supuestos!$B$9</f>
        <v>0.0089626239511823</v>
      </c>
      <c r="L13" s="32" t="n">
        <f aca="false">Supuestos!$B$9</f>
        <v>0.0089626239511823</v>
      </c>
      <c r="M13" s="32" t="n">
        <f aca="false">Supuestos!$B$9</f>
        <v>0.0089626239511823</v>
      </c>
      <c r="N13" s="32" t="n">
        <f aca="false">Supuestos!$B$9</f>
        <v>0.0089626239511823</v>
      </c>
      <c r="O13" s="32" t="n">
        <f aca="false">Supuestos!$B$9</f>
        <v>0.0089626239511823</v>
      </c>
      <c r="P13" s="32" t="n">
        <f aca="false">Supuestos!$B$9</f>
        <v>0.0089626239511823</v>
      </c>
      <c r="Q13" s="32" t="n">
        <f aca="false">Supuestos!$B$9</f>
        <v>0.0089626239511823</v>
      </c>
    </row>
    <row r="14" customFormat="false" ht="15" hidden="false" customHeight="false" outlineLevel="0" collapsed="false">
      <c r="A14" s="9" t="s">
        <v>137</v>
      </c>
      <c r="B14" s="6" t="n">
        <f aca="false">Supuestos!$B$5</f>
        <v>75</v>
      </c>
      <c r="C14" s="6" t="n">
        <f aca="false">Supuestos!$B$5</f>
        <v>75</v>
      </c>
      <c r="D14" s="6" t="n">
        <f aca="false">Supuestos!$B$5</f>
        <v>75</v>
      </c>
      <c r="E14" s="6" t="n">
        <f aca="false">Supuestos!$B$5</f>
        <v>75</v>
      </c>
      <c r="F14" s="6" t="n">
        <f aca="false">Supuestos!$B$5</f>
        <v>75</v>
      </c>
      <c r="G14" s="6" t="n">
        <f aca="false">Supuestos!$B$5</f>
        <v>75</v>
      </c>
      <c r="H14" s="6" t="n">
        <f aca="false">Supuestos!$B$5</f>
        <v>75</v>
      </c>
      <c r="I14" s="6" t="n">
        <f aca="false">Supuestos!$B$5</f>
        <v>75</v>
      </c>
      <c r="J14" s="6" t="n">
        <f aca="false">Supuestos!$B$5</f>
        <v>75</v>
      </c>
      <c r="K14" s="6" t="n">
        <f aca="false">Supuestos!$B$5</f>
        <v>75</v>
      </c>
      <c r="L14" s="6" t="n">
        <f aca="false">Supuestos!$B$5</f>
        <v>75</v>
      </c>
      <c r="M14" s="6" t="n">
        <f aca="false">Supuestos!$B$5</f>
        <v>75</v>
      </c>
      <c r="N14" s="6" t="n">
        <f aca="false">Supuestos!$B$5</f>
        <v>75</v>
      </c>
      <c r="O14" s="6" t="n">
        <f aca="false">Supuestos!$B$5</f>
        <v>75</v>
      </c>
      <c r="P14" s="6" t="n">
        <f aca="false">Supuestos!$B$5</f>
        <v>75</v>
      </c>
      <c r="Q14" s="6" t="n">
        <f aca="false">Supuestos!$B$5</f>
        <v>75</v>
      </c>
    </row>
    <row r="15" customFormat="false" ht="15" hidden="false" customHeight="false" outlineLevel="0" collapsed="false">
      <c r="A15" s="9" t="s">
        <v>50</v>
      </c>
      <c r="B15" s="6" t="n">
        <f aca="false">Supuestos!$B$6</f>
        <v>46</v>
      </c>
      <c r="C15" s="6" t="n">
        <f aca="false">Supuestos!$B$6</f>
        <v>46</v>
      </c>
      <c r="D15" s="6" t="n">
        <f aca="false">Supuestos!$B$6</f>
        <v>46</v>
      </c>
      <c r="E15" s="6" t="n">
        <f aca="false">Supuestos!$B$6</f>
        <v>46</v>
      </c>
      <c r="F15" s="6" t="n">
        <f aca="false">Supuestos!$B$6</f>
        <v>46</v>
      </c>
      <c r="G15" s="6" t="n">
        <f aca="false">Supuestos!$B$6</f>
        <v>46</v>
      </c>
      <c r="H15" s="6" t="n">
        <f aca="false">Supuestos!$B$6</f>
        <v>46</v>
      </c>
      <c r="I15" s="6" t="n">
        <f aca="false">Supuestos!$B$6</f>
        <v>46</v>
      </c>
      <c r="J15" s="6" t="n">
        <f aca="false">Supuestos!$B$6</f>
        <v>46</v>
      </c>
      <c r="K15" s="6" t="n">
        <f aca="false">Supuestos!$B$6</f>
        <v>46</v>
      </c>
      <c r="L15" s="6" t="n">
        <f aca="false">Supuestos!$B$6</f>
        <v>46</v>
      </c>
      <c r="M15" s="6" t="n">
        <f aca="false">Supuestos!$B$6</f>
        <v>46</v>
      </c>
      <c r="N15" s="6" t="n">
        <f aca="false">Supuestos!$B$6</f>
        <v>46</v>
      </c>
      <c r="O15" s="6" t="n">
        <f aca="false">Supuestos!$B$6</f>
        <v>46</v>
      </c>
      <c r="P15" s="6" t="n">
        <f aca="false">Supuestos!$B$6</f>
        <v>46</v>
      </c>
      <c r="Q15" s="6" t="n">
        <f aca="false">Supuestos!$B$6</f>
        <v>46</v>
      </c>
    </row>
    <row r="16" customFormat="false" ht="15" hidden="false" customHeight="false" outlineLevel="0" collapsed="false">
      <c r="A16" s="9" t="s">
        <v>138</v>
      </c>
      <c r="B16" s="7" t="n">
        <f aca="false">Supuestos!$B$7</f>
        <v>0.065</v>
      </c>
      <c r="C16" s="7" t="n">
        <f aca="false">Supuestos!$B$7</f>
        <v>0.065</v>
      </c>
      <c r="D16" s="7" t="n">
        <f aca="false">Supuestos!$B$7</f>
        <v>0.065</v>
      </c>
      <c r="E16" s="7" t="n">
        <f aca="false">Supuestos!$B$7</f>
        <v>0.065</v>
      </c>
      <c r="F16" s="7" t="n">
        <f aca="false">Supuestos!$B$7</f>
        <v>0.065</v>
      </c>
      <c r="G16" s="7" t="n">
        <f aca="false">Supuestos!$B$7</f>
        <v>0.065</v>
      </c>
      <c r="H16" s="7" t="n">
        <f aca="false">Supuestos!$B$7</f>
        <v>0.065</v>
      </c>
      <c r="I16" s="7" t="n">
        <f aca="false">Supuestos!$B$7</f>
        <v>0.065</v>
      </c>
      <c r="J16" s="7" t="n">
        <f aca="false">Supuestos!$B$7</f>
        <v>0.065</v>
      </c>
      <c r="K16" s="7" t="n">
        <f aca="false">Supuestos!$B$7</f>
        <v>0.065</v>
      </c>
      <c r="L16" s="7" t="n">
        <f aca="false">Supuestos!$B$7</f>
        <v>0.065</v>
      </c>
      <c r="M16" s="7" t="n">
        <f aca="false">Supuestos!$B$7</f>
        <v>0.065</v>
      </c>
      <c r="N16" s="7" t="n">
        <f aca="false">Supuestos!$B$7</f>
        <v>0.065</v>
      </c>
      <c r="O16" s="7" t="n">
        <f aca="false">Supuestos!$B$7</f>
        <v>0.065</v>
      </c>
      <c r="P16" s="7" t="n">
        <f aca="false">Supuestos!$B$7</f>
        <v>0.065</v>
      </c>
      <c r="Q16" s="7" t="n">
        <f aca="false">Supuestos!$B$7</f>
        <v>0.065</v>
      </c>
    </row>
    <row r="17" customFormat="false" ht="15" hidden="false" customHeight="false" outlineLevel="0" collapsed="false">
      <c r="A17" s="9" t="s">
        <v>139</v>
      </c>
      <c r="B17" s="7" t="n">
        <f aca="false">Supuestos!$B$10</f>
        <v>0.392</v>
      </c>
      <c r="C17" s="7" t="n">
        <f aca="false">Supuestos!$B$10</f>
        <v>0.392</v>
      </c>
      <c r="D17" s="7" t="n">
        <f aca="false">Supuestos!$B$10</f>
        <v>0.392</v>
      </c>
      <c r="E17" s="7" t="n">
        <f aca="false">Supuestos!$B$10</f>
        <v>0.392</v>
      </c>
      <c r="F17" s="7" t="n">
        <f aca="false">Supuestos!$B$10</f>
        <v>0.392</v>
      </c>
      <c r="G17" s="7" t="n">
        <f aca="false">Supuestos!$B$10</f>
        <v>0.392</v>
      </c>
      <c r="H17" s="7" t="n">
        <f aca="false">Supuestos!$B$10</f>
        <v>0.392</v>
      </c>
      <c r="I17" s="7" t="n">
        <f aca="false">Supuestos!$B$10</f>
        <v>0.392</v>
      </c>
      <c r="J17" s="7" t="n">
        <f aca="false">Supuestos!$B$10</f>
        <v>0.392</v>
      </c>
      <c r="K17" s="7" t="n">
        <f aca="false">Supuestos!$B$10</f>
        <v>0.392</v>
      </c>
      <c r="L17" s="7" t="n">
        <f aca="false">Supuestos!$B$10</f>
        <v>0.392</v>
      </c>
      <c r="M17" s="7" t="n">
        <f aca="false">Supuestos!$B$10</f>
        <v>0.392</v>
      </c>
      <c r="N17" s="7" t="n">
        <f aca="false">Supuestos!$B$10</f>
        <v>0.392</v>
      </c>
      <c r="O17" s="7" t="n">
        <f aca="false">Supuestos!$B$10</f>
        <v>0.392</v>
      </c>
      <c r="P17" s="7" t="n">
        <f aca="false">Supuestos!$B$10</f>
        <v>0.392</v>
      </c>
      <c r="Q17" s="7" t="n">
        <f aca="false">Supuestos!$B$10</f>
        <v>0.392</v>
      </c>
    </row>
    <row r="19" customFormat="false" ht="15" hidden="false" customHeight="false" outlineLevel="0" collapsed="false">
      <c r="A19" s="3" t="s">
        <v>140</v>
      </c>
    </row>
    <row r="20" customFormat="false" ht="15" hidden="false" customHeight="false" outlineLevel="0" collapsed="false">
      <c r="A20" s="9" t="s">
        <v>3</v>
      </c>
      <c r="B20" s="17" t="n">
        <f aca="false">Historico!$E$8*(1+B6)</f>
        <v>1048.8</v>
      </c>
      <c r="C20" s="17" t="n">
        <f aca="false">Historico!$E$8*(1+C6)</f>
        <v>1101.24</v>
      </c>
      <c r="D20" s="17" t="n">
        <f aca="false">Historico!$E$8*(1+D6)</f>
        <v>1153.68</v>
      </c>
      <c r="E20" s="17" t="n">
        <f aca="false">Historico!$E$8*(1+E6)</f>
        <v>1206.12</v>
      </c>
      <c r="F20" s="17" t="n">
        <f aca="false">Historico!$E$8*(1+F6)</f>
        <v>1258.56</v>
      </c>
      <c r="G20" s="17" t="n">
        <f aca="false">Historico!$E$8*(1+G6)</f>
        <v>1311</v>
      </c>
      <c r="H20" s="17" t="n">
        <f aca="false">Historico!$E$8*(1+H6)</f>
        <v>1363.44</v>
      </c>
      <c r="I20" s="17" t="n">
        <f aca="false">Historico!$E$8*(1+I6)</f>
        <v>1415.88</v>
      </c>
      <c r="J20" s="17" t="n">
        <f aca="false">Historico!$E$8*(1+J6)</f>
        <v>1048.8</v>
      </c>
      <c r="K20" s="17" t="n">
        <f aca="false">Historico!$E$8*(1+K6)</f>
        <v>1101.24</v>
      </c>
      <c r="L20" s="17" t="n">
        <f aca="false">Historico!$E$8*(1+L6)</f>
        <v>1153.68</v>
      </c>
      <c r="M20" s="17" t="n">
        <f aca="false">Historico!$E$8*(1+M6)</f>
        <v>1206.12</v>
      </c>
      <c r="N20" s="17" t="n">
        <f aca="false">Historico!$E$8*(1+N6)</f>
        <v>1258.56</v>
      </c>
      <c r="O20" s="17" t="n">
        <f aca="false">Historico!$E$8*(1+O6)</f>
        <v>1311</v>
      </c>
      <c r="P20" s="17" t="n">
        <f aca="false">Historico!$E$8*(1+P6)</f>
        <v>1363.44</v>
      </c>
      <c r="Q20" s="17" t="n">
        <f aca="false">Historico!$E$8*(1+Q6)</f>
        <v>1415.88</v>
      </c>
    </row>
    <row r="21" customFormat="false" ht="15" hidden="false" customHeight="false" outlineLevel="0" collapsed="false">
      <c r="A21" s="9" t="s">
        <v>47</v>
      </c>
      <c r="B21" s="17" t="n">
        <f aca="false">B20*(Historico!$E$9/Historico!$E$8+B11)</f>
        <v>503.4</v>
      </c>
      <c r="C21" s="17" t="n">
        <f aca="false">C20*(Historico!$E$9/Historico!$E$8+C11)</f>
        <v>528.57</v>
      </c>
      <c r="D21" s="17" t="n">
        <f aca="false">D20*(Historico!$E$9/Historico!$E$8+D11)</f>
        <v>553.74</v>
      </c>
      <c r="E21" s="17" t="n">
        <f aca="false">E20*(Historico!$E$9/Historico!$E$8+E11)</f>
        <v>578.91</v>
      </c>
      <c r="F21" s="17" t="n">
        <f aca="false">F20*(Historico!$E$9/Historico!$E$8+F11)</f>
        <v>604.08</v>
      </c>
      <c r="G21" s="17" t="n">
        <f aca="false">G20*(Historico!$E$9/Historico!$E$8+G11)</f>
        <v>629.25</v>
      </c>
      <c r="H21" s="17" t="n">
        <f aca="false">H20*(Historico!$E$9/Historico!$E$8+H11)</f>
        <v>654.42</v>
      </c>
      <c r="I21" s="17" t="n">
        <f aca="false">I20*(Historico!$E$9/Historico!$E$8+I11)</f>
        <v>679.59</v>
      </c>
      <c r="J21" s="17" t="n">
        <f aca="false">J20*(Historico!$E$9/Historico!$E$8+J11)</f>
        <v>503.4</v>
      </c>
      <c r="K21" s="17" t="n">
        <f aca="false">K20*(Historico!$E$9/Historico!$E$8+K11)</f>
        <v>528.57</v>
      </c>
      <c r="L21" s="17" t="n">
        <f aca="false">L20*(Historico!$E$9/Historico!$E$8+L11)</f>
        <v>553.74</v>
      </c>
      <c r="M21" s="17" t="n">
        <f aca="false">M20*(Historico!$E$9/Historico!$E$8+M11)</f>
        <v>578.91</v>
      </c>
      <c r="N21" s="17" t="n">
        <f aca="false">N20*(Historico!$E$9/Historico!$E$8+N11)</f>
        <v>604.08</v>
      </c>
      <c r="O21" s="17" t="n">
        <f aca="false">O20*(Historico!$E$9/Historico!$E$8+O11)</f>
        <v>629.25</v>
      </c>
      <c r="P21" s="17" t="n">
        <f aca="false">P20*(Historico!$E$9/Historico!$E$8+P11)</f>
        <v>654.42</v>
      </c>
      <c r="Q21" s="17" t="n">
        <f aca="false">Q20*(Historico!$E$9/Historico!$E$8+Q11)</f>
        <v>679.59</v>
      </c>
    </row>
    <row r="22" customFormat="false" ht="15" hidden="false" customHeight="false" outlineLevel="0" collapsed="false">
      <c r="A22" s="9" t="s">
        <v>48</v>
      </c>
      <c r="B22" s="16" t="n">
        <f aca="false">B20-B21</f>
        <v>545.4</v>
      </c>
      <c r="C22" s="16" t="n">
        <f aca="false">C20-C21</f>
        <v>572.67</v>
      </c>
      <c r="D22" s="16" t="n">
        <f aca="false">D20-D21</f>
        <v>599.94</v>
      </c>
      <c r="E22" s="16" t="n">
        <f aca="false">E20-E21</f>
        <v>627.21</v>
      </c>
      <c r="F22" s="16" t="n">
        <f aca="false">F20-F21</f>
        <v>654.48</v>
      </c>
      <c r="G22" s="16" t="n">
        <f aca="false">G20-G21</f>
        <v>681.75</v>
      </c>
      <c r="H22" s="16" t="n">
        <f aca="false">H20-H21</f>
        <v>709.02</v>
      </c>
      <c r="I22" s="16" t="n">
        <f aca="false">I20-I21</f>
        <v>736.29</v>
      </c>
      <c r="J22" s="16" t="n">
        <f aca="false">J20-J21</f>
        <v>545.4</v>
      </c>
      <c r="K22" s="16" t="n">
        <f aca="false">K20-K21</f>
        <v>572.67</v>
      </c>
      <c r="L22" s="16" t="n">
        <f aca="false">L20-L21</f>
        <v>599.94</v>
      </c>
      <c r="M22" s="16" t="n">
        <f aca="false">M20-M21</f>
        <v>627.21</v>
      </c>
      <c r="N22" s="16" t="n">
        <f aca="false">N20-N21</f>
        <v>654.48</v>
      </c>
      <c r="O22" s="16" t="n">
        <f aca="false">O20-O21</f>
        <v>681.75</v>
      </c>
      <c r="P22" s="16" t="n">
        <f aca="false">P20-P21</f>
        <v>709.02</v>
      </c>
      <c r="Q22" s="16" t="n">
        <f aca="false">Q20-Q21</f>
        <v>736.29</v>
      </c>
    </row>
    <row r="23" customFormat="false" ht="15" hidden="false" customHeight="false" outlineLevel="0" collapsed="false">
      <c r="A23" s="9" t="s">
        <v>141</v>
      </c>
      <c r="B23" s="17" t="n">
        <f aca="false">B12+B20*(Historico!$E$11-B12)/Historico!$E$8</f>
        <v>404.5</v>
      </c>
      <c r="C23" s="17" t="n">
        <f aca="false">C12+C20*(Historico!$E$11-C12)/Historico!$E$8</f>
        <v>424.725</v>
      </c>
      <c r="D23" s="17" t="n">
        <f aca="false">D12+D20*(Historico!$E$11-D12)/Historico!$E$8</f>
        <v>444.95</v>
      </c>
      <c r="E23" s="17" t="n">
        <f aca="false">E12+E20*(Historico!$E$11-E12)/Historico!$E$8</f>
        <v>465.175</v>
      </c>
      <c r="F23" s="17" t="n">
        <f aca="false">F12+F20*(Historico!$E$11-F12)/Historico!$E$8</f>
        <v>485.4</v>
      </c>
      <c r="G23" s="17" t="n">
        <f aca="false">G12+G20*(Historico!$E$11-G12)/Historico!$E$8</f>
        <v>505.625</v>
      </c>
      <c r="H23" s="17" t="n">
        <f aca="false">H12+H20*(Historico!$E$11-H12)/Historico!$E$8</f>
        <v>525.85</v>
      </c>
      <c r="I23" s="17" t="n">
        <f aca="false">I12+I20*(Historico!$E$11-I12)/Historico!$E$8</f>
        <v>546.075</v>
      </c>
      <c r="J23" s="17" t="n">
        <f aca="false">J12+J20*(Historico!$E$11-J12)/Historico!$E$8</f>
        <v>404.5</v>
      </c>
      <c r="K23" s="17" t="n">
        <f aca="false">K12+K20*(Historico!$E$11-K12)/Historico!$E$8</f>
        <v>424.725</v>
      </c>
      <c r="L23" s="17" t="n">
        <f aca="false">L12+L20*(Historico!$E$11-L12)/Historico!$E$8</f>
        <v>444.95</v>
      </c>
      <c r="M23" s="17" t="n">
        <f aca="false">M12+M20*(Historico!$E$11-M12)/Historico!$E$8</f>
        <v>465.175</v>
      </c>
      <c r="N23" s="17" t="n">
        <f aca="false">N12+N20*(Historico!$E$11-N12)/Historico!$E$8</f>
        <v>485.4</v>
      </c>
      <c r="O23" s="17" t="n">
        <f aca="false">O12+O20*(Historico!$E$11-O12)/Historico!$E$8</f>
        <v>505.625</v>
      </c>
      <c r="P23" s="17" t="n">
        <f aca="false">P12+P20*(Historico!$E$11-P12)/Historico!$E$8</f>
        <v>525.85</v>
      </c>
      <c r="Q23" s="17" t="n">
        <f aca="false">Q12+Q20*(Historico!$E$11-Q12)/Historico!$E$8</f>
        <v>546.075</v>
      </c>
    </row>
    <row r="24" customFormat="false" ht="15" hidden="false" customHeight="false" outlineLevel="0" collapsed="false">
      <c r="A24" s="9" t="s">
        <v>50</v>
      </c>
      <c r="B24" s="17" t="n">
        <f aca="false">B15</f>
        <v>46</v>
      </c>
      <c r="C24" s="17" t="n">
        <f aca="false">C15</f>
        <v>46</v>
      </c>
      <c r="D24" s="17" t="n">
        <f aca="false">D15</f>
        <v>46</v>
      </c>
      <c r="E24" s="17" t="n">
        <f aca="false">E15</f>
        <v>46</v>
      </c>
      <c r="F24" s="17" t="n">
        <f aca="false">F15</f>
        <v>46</v>
      </c>
      <c r="G24" s="17" t="n">
        <f aca="false">G15</f>
        <v>46</v>
      </c>
      <c r="H24" s="17" t="n">
        <f aca="false">H15</f>
        <v>46</v>
      </c>
      <c r="I24" s="17" t="n">
        <f aca="false">I15</f>
        <v>46</v>
      </c>
      <c r="J24" s="17" t="n">
        <f aca="false">J15</f>
        <v>46</v>
      </c>
      <c r="K24" s="17" t="n">
        <f aca="false">K15</f>
        <v>46</v>
      </c>
      <c r="L24" s="17" t="n">
        <f aca="false">L15</f>
        <v>46</v>
      </c>
      <c r="M24" s="17" t="n">
        <f aca="false">M15</f>
        <v>46</v>
      </c>
      <c r="N24" s="17" t="n">
        <f aca="false">N15</f>
        <v>46</v>
      </c>
      <c r="O24" s="17" t="n">
        <f aca="false">O15</f>
        <v>46</v>
      </c>
      <c r="P24" s="17" t="n">
        <f aca="false">P15</f>
        <v>46</v>
      </c>
      <c r="Q24" s="17" t="n">
        <f aca="false">Q15</f>
        <v>46</v>
      </c>
    </row>
    <row r="25" customFormat="false" ht="15" hidden="false" customHeight="false" outlineLevel="0" collapsed="false">
      <c r="A25" s="9" t="s">
        <v>51</v>
      </c>
      <c r="B25" s="16" t="n">
        <f aca="false">B22-B23-B24</f>
        <v>94.9</v>
      </c>
      <c r="C25" s="16" t="n">
        <f aca="false">C22-C23-C24</f>
        <v>101.945</v>
      </c>
      <c r="D25" s="16" t="n">
        <f aca="false">D22-D23-D24</f>
        <v>108.99</v>
      </c>
      <c r="E25" s="16" t="n">
        <f aca="false">E22-E23-E24</f>
        <v>116.035</v>
      </c>
      <c r="F25" s="16" t="n">
        <f aca="false">F22-F23-F24</f>
        <v>123.08</v>
      </c>
      <c r="G25" s="16" t="n">
        <f aca="false">G22-G23-G24</f>
        <v>130.125</v>
      </c>
      <c r="H25" s="16" t="n">
        <f aca="false">H22-H23-H24</f>
        <v>137.17</v>
      </c>
      <c r="I25" s="16" t="n">
        <f aca="false">I22-I23-I24</f>
        <v>144.215</v>
      </c>
      <c r="J25" s="16" t="n">
        <f aca="false">J22-J23-J24</f>
        <v>94.9</v>
      </c>
      <c r="K25" s="16" t="n">
        <f aca="false">K22-K23-K24</f>
        <v>101.945</v>
      </c>
      <c r="L25" s="16" t="n">
        <f aca="false">L22-L23-L24</f>
        <v>108.99</v>
      </c>
      <c r="M25" s="16" t="n">
        <f aca="false">M22-M23-M24</f>
        <v>116.035</v>
      </c>
      <c r="N25" s="16" t="n">
        <f aca="false">N22-N23-N24</f>
        <v>123.08</v>
      </c>
      <c r="O25" s="16" t="n">
        <f aca="false">O22-O23-O24</f>
        <v>130.125</v>
      </c>
      <c r="P25" s="16" t="n">
        <f aca="false">P22-P23-P24</f>
        <v>137.17</v>
      </c>
      <c r="Q25" s="16" t="n">
        <f aca="false">Q22-Q23-Q24</f>
        <v>144.215</v>
      </c>
    </row>
    <row r="26" customFormat="false" ht="15" hidden="false" customHeight="false" outlineLevel="0" collapsed="false">
      <c r="A26" s="9" t="s">
        <v>142</v>
      </c>
      <c r="B26" s="17" t="n">
        <f aca="false">B47*B16</f>
        <v>3.09981675828752</v>
      </c>
      <c r="C26" s="17" t="n">
        <f aca="false">C47*C16</f>
        <v>5.72266637514577</v>
      </c>
      <c r="D26" s="17" t="n">
        <f aca="false">D47*D16</f>
        <v>8.34551599200401</v>
      </c>
      <c r="E26" s="17" t="n">
        <f aca="false">E47*E16</f>
        <v>10.9683656088622</v>
      </c>
      <c r="F26" s="17" t="n">
        <f aca="false">F47*F16</f>
        <v>13.5912152257204</v>
      </c>
      <c r="G26" s="17" t="n">
        <f aca="false">G47*G16</f>
        <v>16.2140648425787</v>
      </c>
      <c r="H26" s="17" t="n">
        <f aca="false">H47*H16</f>
        <v>18.8369144594369</v>
      </c>
      <c r="I26" s="17" t="n">
        <f aca="false">I47*I16</f>
        <v>21.4597640762952</v>
      </c>
      <c r="J26" s="17" t="n">
        <f aca="false">J47*J16</f>
        <v>0</v>
      </c>
      <c r="K26" s="17" t="n">
        <f aca="false">K47*K16</f>
        <v>0.428544685990347</v>
      </c>
      <c r="L26" s="17" t="n">
        <f aca="false">L47*L16</f>
        <v>2.79929327003166</v>
      </c>
      <c r="M26" s="17" t="n">
        <f aca="false">M47*M16</f>
        <v>5.17004185407296</v>
      </c>
      <c r="N26" s="17" t="n">
        <f aca="false">N47*N16</f>
        <v>7.54079043811425</v>
      </c>
      <c r="O26" s="17" t="n">
        <f aca="false">O47*O16</f>
        <v>9.91153902215559</v>
      </c>
      <c r="P26" s="17" t="n">
        <f aca="false">P47*P16</f>
        <v>12.2822876061969</v>
      </c>
      <c r="Q26" s="17" t="n">
        <f aca="false">Q47*Q16</f>
        <v>14.6530361902382</v>
      </c>
    </row>
    <row r="27" customFormat="false" ht="15" hidden="false" customHeight="false" outlineLevel="0" collapsed="false">
      <c r="A27" s="9" t="s">
        <v>143</v>
      </c>
      <c r="B27" s="17" t="n">
        <f aca="false">B25-B26</f>
        <v>91.8001832417125</v>
      </c>
      <c r="C27" s="17" t="n">
        <f aca="false">C25-C26</f>
        <v>96.2223336248543</v>
      </c>
      <c r="D27" s="17" t="n">
        <f aca="false">D25-D26</f>
        <v>100.644484007996</v>
      </c>
      <c r="E27" s="17" t="n">
        <f aca="false">E25-E26</f>
        <v>105.066634391138</v>
      </c>
      <c r="F27" s="17" t="n">
        <f aca="false">F25-F26</f>
        <v>109.48878477428</v>
      </c>
      <c r="G27" s="17" t="n">
        <f aca="false">G25-G26</f>
        <v>113.910935157421</v>
      </c>
      <c r="H27" s="17" t="n">
        <f aca="false">H25-H26</f>
        <v>118.333085540563</v>
      </c>
      <c r="I27" s="17" t="n">
        <f aca="false">I25-I26</f>
        <v>122.755235923705</v>
      </c>
      <c r="J27" s="17" t="n">
        <f aca="false">J25-J26</f>
        <v>94.9</v>
      </c>
      <c r="K27" s="17" t="n">
        <f aca="false">K25-K26</f>
        <v>101.51645531401</v>
      </c>
      <c r="L27" s="17" t="n">
        <f aca="false">L25-L26</f>
        <v>106.190706729968</v>
      </c>
      <c r="M27" s="17" t="n">
        <f aca="false">M25-M26</f>
        <v>110.864958145927</v>
      </c>
      <c r="N27" s="17" t="n">
        <f aca="false">N25-N26</f>
        <v>115.539209561886</v>
      </c>
      <c r="O27" s="17" t="n">
        <f aca="false">O25-O26</f>
        <v>120.213460977844</v>
      </c>
      <c r="P27" s="17" t="n">
        <f aca="false">P25-P26</f>
        <v>124.887712393803</v>
      </c>
      <c r="Q27" s="17" t="n">
        <f aca="false">Q25-Q26</f>
        <v>129.561963809762</v>
      </c>
    </row>
    <row r="28" customFormat="false" ht="15" hidden="false" customHeight="false" outlineLevel="0" collapsed="false">
      <c r="A28" s="9" t="s">
        <v>52</v>
      </c>
      <c r="B28" s="17" t="n">
        <f aca="false">B27*B17</f>
        <v>35.9856718307513</v>
      </c>
      <c r="C28" s="17" t="n">
        <f aca="false">C27*C17</f>
        <v>37.7191547809429</v>
      </c>
      <c r="D28" s="17" t="n">
        <f aca="false">D27*D17</f>
        <v>39.4526377311344</v>
      </c>
      <c r="E28" s="17" t="n">
        <f aca="false">E27*E17</f>
        <v>41.186120681326</v>
      </c>
      <c r="F28" s="17" t="n">
        <f aca="false">F27*F17</f>
        <v>42.9196036315176</v>
      </c>
      <c r="G28" s="17" t="n">
        <f aca="false">G27*G17</f>
        <v>44.6530865817092</v>
      </c>
      <c r="H28" s="17" t="n">
        <f aca="false">H27*H17</f>
        <v>46.3865695319008</v>
      </c>
      <c r="I28" s="17" t="n">
        <f aca="false">I27*I17</f>
        <v>48.1200524820923</v>
      </c>
      <c r="J28" s="17" t="n">
        <f aca="false">J27*J17</f>
        <v>37.2008</v>
      </c>
      <c r="K28" s="17" t="n">
        <f aca="false">K27*K17</f>
        <v>39.7944504830918</v>
      </c>
      <c r="L28" s="17" t="n">
        <f aca="false">L27*L17</f>
        <v>41.6267570381476</v>
      </c>
      <c r="M28" s="17" t="n">
        <f aca="false">M27*M17</f>
        <v>43.4590635932034</v>
      </c>
      <c r="N28" s="17" t="n">
        <f aca="false">N27*N17</f>
        <v>45.2913701482592</v>
      </c>
      <c r="O28" s="17" t="n">
        <f aca="false">O27*O17</f>
        <v>47.123676703315</v>
      </c>
      <c r="P28" s="17" t="n">
        <f aca="false">P27*P17</f>
        <v>48.9559832583709</v>
      </c>
      <c r="Q28" s="17" t="n">
        <f aca="false">Q27*Q17</f>
        <v>50.7882898134267</v>
      </c>
    </row>
    <row r="29" customFormat="false" ht="15" hidden="false" customHeight="false" outlineLevel="0" collapsed="false">
      <c r="A29" s="9" t="s">
        <v>4</v>
      </c>
      <c r="B29" s="16" t="n">
        <f aca="false">B27-B28</f>
        <v>55.8145114109612</v>
      </c>
      <c r="C29" s="16" t="n">
        <f aca="false">C27-C28</f>
        <v>58.5031788439114</v>
      </c>
      <c r="D29" s="16" t="n">
        <f aca="false">D27-D28</f>
        <v>61.1918462768616</v>
      </c>
      <c r="E29" s="16" t="n">
        <f aca="false">E27-E28</f>
        <v>63.8805137098117</v>
      </c>
      <c r="F29" s="16" t="n">
        <f aca="false">F27-F28</f>
        <v>66.569181142762</v>
      </c>
      <c r="G29" s="16" t="n">
        <f aca="false">G27-G28</f>
        <v>69.2578485757121</v>
      </c>
      <c r="H29" s="16" t="n">
        <f aca="false">H27-H28</f>
        <v>71.9465160086624</v>
      </c>
      <c r="I29" s="16" t="n">
        <f aca="false">I27-I28</f>
        <v>74.6351834416125</v>
      </c>
      <c r="J29" s="16" t="n">
        <f aca="false">J27-J28</f>
        <v>57.6992</v>
      </c>
      <c r="K29" s="16" t="n">
        <f aca="false">K27-K28</f>
        <v>61.7220048309179</v>
      </c>
      <c r="L29" s="16" t="n">
        <f aca="false">L27-L28</f>
        <v>64.5639496918207</v>
      </c>
      <c r="M29" s="16" t="n">
        <f aca="false">M27-M28</f>
        <v>67.4058945527236</v>
      </c>
      <c r="N29" s="16" t="n">
        <f aca="false">N27-N28</f>
        <v>70.2478394136265</v>
      </c>
      <c r="O29" s="16" t="n">
        <f aca="false">O27-O28</f>
        <v>73.0897842745294</v>
      </c>
      <c r="P29" s="16" t="n">
        <f aca="false">P27-P28</f>
        <v>75.9317291354323</v>
      </c>
      <c r="Q29" s="16" t="n">
        <f aca="false">Q27-Q28</f>
        <v>78.7736739963352</v>
      </c>
    </row>
    <row r="31" customFormat="false" ht="15" hidden="false" customHeight="false" outlineLevel="0" collapsed="false">
      <c r="A31" s="3" t="s">
        <v>144</v>
      </c>
    </row>
    <row r="32" customFormat="false" ht="15" hidden="false" customHeight="false" outlineLevel="0" collapsed="false">
      <c r="A32" s="9" t="s">
        <v>145</v>
      </c>
      <c r="B32" s="17" t="n">
        <f aca="false">B13*B20</f>
        <v>83.904</v>
      </c>
      <c r="C32" s="17" t="n">
        <f aca="false">C13*C20</f>
        <v>88.0992</v>
      </c>
      <c r="D32" s="17" t="n">
        <f aca="false">D13*D20</f>
        <v>92.2944</v>
      </c>
      <c r="E32" s="17" t="n">
        <f aca="false">E13*E20</f>
        <v>96.4896</v>
      </c>
      <c r="F32" s="17" t="n">
        <f aca="false">F13*F20</f>
        <v>100.6848</v>
      </c>
      <c r="G32" s="17" t="n">
        <f aca="false">G13*G20</f>
        <v>104.88</v>
      </c>
      <c r="H32" s="17" t="n">
        <f aca="false">H13*H20</f>
        <v>109.0752</v>
      </c>
      <c r="I32" s="17" t="n">
        <f aca="false">I13*I20</f>
        <v>113.2704</v>
      </c>
      <c r="J32" s="17" t="n">
        <f aca="false">J13*J20</f>
        <v>9.4</v>
      </c>
      <c r="K32" s="17" t="n">
        <f aca="false">K13*K20</f>
        <v>9.87</v>
      </c>
      <c r="L32" s="17" t="n">
        <f aca="false">L13*L20</f>
        <v>10.34</v>
      </c>
      <c r="M32" s="17" t="n">
        <f aca="false">M13*M20</f>
        <v>10.81</v>
      </c>
      <c r="N32" s="17" t="n">
        <f aca="false">N13*N20</f>
        <v>11.28</v>
      </c>
      <c r="O32" s="17" t="n">
        <f aca="false">O13*O20</f>
        <v>11.75</v>
      </c>
      <c r="P32" s="17" t="n">
        <f aca="false">P13*P20</f>
        <v>12.22</v>
      </c>
      <c r="Q32" s="17" t="n">
        <f aca="false">Q13*Q20</f>
        <v>12.69</v>
      </c>
    </row>
    <row r="33" customFormat="false" ht="15" hidden="false" customHeight="false" outlineLevel="0" collapsed="false">
      <c r="A33" s="9" t="s">
        <v>146</v>
      </c>
      <c r="B33" s="17" t="n">
        <f aca="false">MAX(-B57,0)</f>
        <v>0</v>
      </c>
      <c r="C33" s="17" t="n">
        <f aca="false">MAX(-C57,0)</f>
        <v>0</v>
      </c>
      <c r="D33" s="17" t="n">
        <f aca="false">MAX(-D57,0)</f>
        <v>0</v>
      </c>
      <c r="E33" s="17" t="n">
        <f aca="false">MAX(-E57,0)</f>
        <v>0</v>
      </c>
      <c r="F33" s="17" t="n">
        <f aca="false">MAX(-F57,0)</f>
        <v>0</v>
      </c>
      <c r="G33" s="17" t="n">
        <f aca="false">MAX(-G57,0)</f>
        <v>0</v>
      </c>
      <c r="H33" s="17" t="n">
        <f aca="false">MAX(-H57,0)</f>
        <v>0</v>
      </c>
      <c r="I33" s="17" t="n">
        <f aca="false">MAX(-I57,0)</f>
        <v>0</v>
      </c>
      <c r="J33" s="17" t="n">
        <f aca="false">MAX(-J57,0)</f>
        <v>28.6992</v>
      </c>
      <c r="K33" s="17" t="n">
        <f aca="false">MAX(-K57,0)</f>
        <v>0</v>
      </c>
      <c r="L33" s="17" t="n">
        <f aca="false">MAX(-L57,0)</f>
        <v>0</v>
      </c>
      <c r="M33" s="17" t="n">
        <f aca="false">MAX(-M57,0)</f>
        <v>0</v>
      </c>
      <c r="N33" s="17" t="n">
        <f aca="false">MAX(-N57,0)</f>
        <v>0</v>
      </c>
      <c r="O33" s="17" t="n">
        <f aca="false">MAX(-O57,0)</f>
        <v>0</v>
      </c>
      <c r="P33" s="17" t="n">
        <f aca="false">MAX(-P57,0)</f>
        <v>0</v>
      </c>
      <c r="Q33" s="17" t="n">
        <f aca="false">MAX(-Q57,0)</f>
        <v>0</v>
      </c>
    </row>
    <row r="34" customFormat="false" ht="15" hidden="false" customHeight="false" outlineLevel="0" collapsed="false">
      <c r="A34" s="9" t="s">
        <v>147</v>
      </c>
      <c r="B34" s="17" t="n">
        <f aca="false">B32+B33</f>
        <v>83.904</v>
      </c>
      <c r="C34" s="17" t="n">
        <f aca="false">C32+C33</f>
        <v>88.0992</v>
      </c>
      <c r="D34" s="17" t="n">
        <f aca="false">D32+D33</f>
        <v>92.2944</v>
      </c>
      <c r="E34" s="17" t="n">
        <f aca="false">E32+E33</f>
        <v>96.4896</v>
      </c>
      <c r="F34" s="17" t="n">
        <f aca="false">F32+F33</f>
        <v>100.6848</v>
      </c>
      <c r="G34" s="17" t="n">
        <f aca="false">G32+G33</f>
        <v>104.88</v>
      </c>
      <c r="H34" s="17" t="n">
        <f aca="false">H32+H33</f>
        <v>109.0752</v>
      </c>
      <c r="I34" s="17" t="n">
        <f aca="false">I32+I33</f>
        <v>113.2704</v>
      </c>
      <c r="J34" s="17" t="n">
        <f aca="false">J32+J33</f>
        <v>38.0992</v>
      </c>
      <c r="K34" s="17" t="n">
        <f aca="false">K32+K33</f>
        <v>9.87</v>
      </c>
      <c r="L34" s="17" t="n">
        <f aca="false">L32+L33</f>
        <v>10.34</v>
      </c>
      <c r="M34" s="17" t="n">
        <f aca="false">M32+M33</f>
        <v>10.81</v>
      </c>
      <c r="N34" s="17" t="n">
        <f aca="false">N32+N33</f>
        <v>11.28</v>
      </c>
      <c r="O34" s="17" t="n">
        <f aca="false">O32+O33</f>
        <v>11.75</v>
      </c>
      <c r="P34" s="17" t="n">
        <f aca="false">P32+P33</f>
        <v>12.22</v>
      </c>
      <c r="Q34" s="17" t="n">
        <f aca="false">Q32+Q33</f>
        <v>12.69</v>
      </c>
    </row>
    <row r="35" customFormat="false" ht="15" hidden="false" customHeight="false" outlineLevel="0" collapsed="false">
      <c r="A35" s="9" t="s">
        <v>55</v>
      </c>
      <c r="B35" s="17" t="n">
        <f aca="false">B20*B8/365</f>
        <v>146.4</v>
      </c>
      <c r="C35" s="17" t="n">
        <f aca="false">C20*C8/365</f>
        <v>153.72</v>
      </c>
      <c r="D35" s="17" t="n">
        <f aca="false">D20*D8/365</f>
        <v>161.04</v>
      </c>
      <c r="E35" s="17" t="n">
        <f aca="false">E20*E8/365</f>
        <v>168.36</v>
      </c>
      <c r="F35" s="17" t="n">
        <f aca="false">F20*F8/365</f>
        <v>175.68</v>
      </c>
      <c r="G35" s="17" t="n">
        <f aca="false">G20*G8/365</f>
        <v>183</v>
      </c>
      <c r="H35" s="17" t="n">
        <f aca="false">H20*H8/365</f>
        <v>190.32</v>
      </c>
      <c r="I35" s="17" t="n">
        <f aca="false">I20*I8/365</f>
        <v>197.64</v>
      </c>
      <c r="J35" s="17" t="n">
        <f aca="false">J20*J8/365</f>
        <v>146.4</v>
      </c>
      <c r="K35" s="17" t="n">
        <f aca="false">K20*K8/365</f>
        <v>153.72</v>
      </c>
      <c r="L35" s="17" t="n">
        <f aca="false">L20*L8/365</f>
        <v>161.04</v>
      </c>
      <c r="M35" s="17" t="n">
        <f aca="false">M20*M8/365</f>
        <v>168.36</v>
      </c>
      <c r="N35" s="17" t="n">
        <f aca="false">N20*N8/365</f>
        <v>175.68</v>
      </c>
      <c r="O35" s="17" t="n">
        <f aca="false">O20*O8/365</f>
        <v>183</v>
      </c>
      <c r="P35" s="17" t="n">
        <f aca="false">P20*P8/365</f>
        <v>190.32</v>
      </c>
      <c r="Q35" s="17" t="n">
        <f aca="false">Q20*Q8/365</f>
        <v>197.64</v>
      </c>
    </row>
    <row r="36" customFormat="false" ht="15" hidden="false" customHeight="false" outlineLevel="0" collapsed="false">
      <c r="A36" s="9" t="s">
        <v>56</v>
      </c>
      <c r="B36" s="17" t="n">
        <f aca="false">Historico!$E$8*(1+B7)*(Historico!$E$9/Historico!$E$8+B11)*B9/365</f>
        <v>656.9</v>
      </c>
      <c r="C36" s="17" t="n">
        <f aca="false">Historico!$E$8*(1+C7)*(Historico!$E$9/Historico!$E$8+C11)*C9/365</f>
        <v>689.745</v>
      </c>
      <c r="D36" s="17" t="n">
        <f aca="false">Historico!$E$8*(1+D7)*(Historico!$E$9/Historico!$E$8+D11)*D9/365</f>
        <v>722.59</v>
      </c>
      <c r="E36" s="17" t="n">
        <f aca="false">Historico!$E$8*(1+E7)*(Historico!$E$9/Historico!$E$8+E11)*E9/365</f>
        <v>755.435</v>
      </c>
      <c r="F36" s="17" t="n">
        <f aca="false">Historico!$E$8*(1+F7)*(Historico!$E$9/Historico!$E$8+F11)*F9/365</f>
        <v>788.28</v>
      </c>
      <c r="G36" s="17" t="n">
        <f aca="false">Historico!$E$8*(1+G7)*(Historico!$E$9/Historico!$E$8+G11)*G9/365</f>
        <v>821.125</v>
      </c>
      <c r="H36" s="17" t="n">
        <f aca="false">Historico!$E$8*(1+H7)*(Historico!$E$9/Historico!$E$8+H11)*H9/365</f>
        <v>853.97</v>
      </c>
      <c r="I36" s="17" t="n">
        <f aca="false">Historico!$E$8*(1+I7)*(Historico!$E$9/Historico!$E$8+I11)*I9/365</f>
        <v>886.815</v>
      </c>
      <c r="J36" s="17" t="n">
        <f aca="false">Historico!$E$8*(1+J7)*(Historico!$E$9/Historico!$E$8+J11)*J9/365</f>
        <v>656.9</v>
      </c>
      <c r="K36" s="17" t="n">
        <f aca="false">Historico!$E$8*(1+K7)*(Historico!$E$9/Historico!$E$8+K11)*K9/365</f>
        <v>689.745</v>
      </c>
      <c r="L36" s="17" t="n">
        <f aca="false">Historico!$E$8*(1+L7)*(Historico!$E$9/Historico!$E$8+L11)*L9/365</f>
        <v>722.59</v>
      </c>
      <c r="M36" s="17" t="n">
        <f aca="false">Historico!$E$8*(1+M7)*(Historico!$E$9/Historico!$E$8+M11)*M9/365</f>
        <v>755.435</v>
      </c>
      <c r="N36" s="17" t="n">
        <f aca="false">Historico!$E$8*(1+N7)*(Historico!$E$9/Historico!$E$8+N11)*N9/365</f>
        <v>788.28</v>
      </c>
      <c r="O36" s="17" t="n">
        <f aca="false">Historico!$E$8*(1+O7)*(Historico!$E$9/Historico!$E$8+O11)*O9/365</f>
        <v>821.125</v>
      </c>
      <c r="P36" s="17" t="n">
        <f aca="false">Historico!$E$8*(1+P7)*(Historico!$E$9/Historico!$E$8+P11)*P9/365</f>
        <v>853.97</v>
      </c>
      <c r="Q36" s="17" t="n">
        <f aca="false">Historico!$E$8*(1+Q7)*(Historico!$E$9/Historico!$E$8+Q11)*Q9/365</f>
        <v>886.815</v>
      </c>
    </row>
    <row r="37" customFormat="false" ht="15" hidden="false" customHeight="false" outlineLevel="0" collapsed="false">
      <c r="A37" s="9" t="s">
        <v>57</v>
      </c>
      <c r="B37" s="17" t="n">
        <f aca="false">B20*Historico!$E$21/Historico!$E$8</f>
        <v>20.9</v>
      </c>
      <c r="C37" s="17" t="n">
        <f aca="false">C20*Historico!$E$21/Historico!$E$8</f>
        <v>21.945</v>
      </c>
      <c r="D37" s="17" t="n">
        <f aca="false">D20*Historico!$E$21/Historico!$E$8</f>
        <v>22.99</v>
      </c>
      <c r="E37" s="17" t="n">
        <f aca="false">E20*Historico!$E$21/Historico!$E$8</f>
        <v>24.035</v>
      </c>
      <c r="F37" s="17" t="n">
        <f aca="false">F20*Historico!$E$21/Historico!$E$8</f>
        <v>25.08</v>
      </c>
      <c r="G37" s="17" t="n">
        <f aca="false">G20*Historico!$E$21/Historico!$E$8</f>
        <v>26.125</v>
      </c>
      <c r="H37" s="17" t="n">
        <f aca="false">H20*Historico!$E$21/Historico!$E$8</f>
        <v>27.17</v>
      </c>
      <c r="I37" s="17" t="n">
        <f aca="false">I20*Historico!$E$21/Historico!$E$8</f>
        <v>28.215</v>
      </c>
      <c r="J37" s="17" t="n">
        <f aca="false">J20*Historico!$E$21/Historico!$E$8</f>
        <v>20.9</v>
      </c>
      <c r="K37" s="17" t="n">
        <f aca="false">K20*Historico!$E$21/Historico!$E$8</f>
        <v>21.945</v>
      </c>
      <c r="L37" s="17" t="n">
        <f aca="false">L20*Historico!$E$21/Historico!$E$8</f>
        <v>22.99</v>
      </c>
      <c r="M37" s="17" t="n">
        <f aca="false">M20*Historico!$E$21/Historico!$E$8</f>
        <v>24.035</v>
      </c>
      <c r="N37" s="17" t="n">
        <f aca="false">N20*Historico!$E$21/Historico!$E$8</f>
        <v>25.08</v>
      </c>
      <c r="O37" s="17" t="n">
        <f aca="false">O20*Historico!$E$21/Historico!$E$8</f>
        <v>26.125</v>
      </c>
      <c r="P37" s="17" t="n">
        <f aca="false">P20*Historico!$E$21/Historico!$E$8</f>
        <v>27.17</v>
      </c>
      <c r="Q37" s="17" t="n">
        <f aca="false">Q20*Historico!$E$21/Historico!$E$8</f>
        <v>28.215</v>
      </c>
    </row>
    <row r="38" customFormat="false" ht="15" hidden="false" customHeight="false" outlineLevel="0" collapsed="false">
      <c r="A38" s="9" t="s">
        <v>58</v>
      </c>
      <c r="B38" s="16" t="n">
        <f aca="false">SUM(B34:B37)</f>
        <v>908.104</v>
      </c>
      <c r="C38" s="16" t="n">
        <f aca="false">SUM(C34:C37)</f>
        <v>953.5092</v>
      </c>
      <c r="D38" s="16" t="n">
        <f aca="false">SUM(D34:D37)</f>
        <v>998.9144</v>
      </c>
      <c r="E38" s="16" t="n">
        <f aca="false">SUM(E34:E37)</f>
        <v>1044.3196</v>
      </c>
      <c r="F38" s="16" t="n">
        <f aca="false">SUM(F34:F37)</f>
        <v>1089.7248</v>
      </c>
      <c r="G38" s="16" t="n">
        <f aca="false">SUM(G34:G37)</f>
        <v>1135.13</v>
      </c>
      <c r="H38" s="16" t="n">
        <f aca="false">SUM(H34:H37)</f>
        <v>1180.5352</v>
      </c>
      <c r="I38" s="16" t="n">
        <f aca="false">SUM(I34:I37)</f>
        <v>1225.9404</v>
      </c>
      <c r="J38" s="16" t="n">
        <f aca="false">SUM(J34:J37)</f>
        <v>862.2992</v>
      </c>
      <c r="K38" s="16" t="n">
        <f aca="false">SUM(K34:K37)</f>
        <v>875.28</v>
      </c>
      <c r="L38" s="16" t="n">
        <f aca="false">SUM(L34:L37)</f>
        <v>916.96</v>
      </c>
      <c r="M38" s="16" t="n">
        <f aca="false">SUM(M34:M37)</f>
        <v>958.64</v>
      </c>
      <c r="N38" s="16" t="n">
        <f aca="false">SUM(N34:N37)</f>
        <v>1000.32</v>
      </c>
      <c r="O38" s="16" t="n">
        <f aca="false">SUM(O34:O37)</f>
        <v>1042</v>
      </c>
      <c r="P38" s="16" t="n">
        <f aca="false">SUM(P34:P37)</f>
        <v>1083.68</v>
      </c>
      <c r="Q38" s="16" t="n">
        <f aca="false">SUM(Q34:Q37)</f>
        <v>1125.36</v>
      </c>
    </row>
    <row r="39" customFormat="false" ht="15" hidden="false" customHeight="false" outlineLevel="0" collapsed="false">
      <c r="A39" s="9" t="s">
        <v>59</v>
      </c>
      <c r="B39" s="17" t="n">
        <f aca="false">Historico!$E$23+B14-B15</f>
        <v>376.9</v>
      </c>
      <c r="C39" s="17" t="n">
        <f aca="false">Historico!$E$23+C14-C15</f>
        <v>376.9</v>
      </c>
      <c r="D39" s="17" t="n">
        <f aca="false">Historico!$E$23+D14-D15</f>
        <v>376.9</v>
      </c>
      <c r="E39" s="17" t="n">
        <f aca="false">Historico!$E$23+E14-E15</f>
        <v>376.9</v>
      </c>
      <c r="F39" s="17" t="n">
        <f aca="false">Historico!$E$23+F14-F15</f>
        <v>376.9</v>
      </c>
      <c r="G39" s="17" t="n">
        <f aca="false">Historico!$E$23+G14-G15</f>
        <v>376.9</v>
      </c>
      <c r="H39" s="17" t="n">
        <f aca="false">Historico!$E$23+H14-H15</f>
        <v>376.9</v>
      </c>
      <c r="I39" s="17" t="n">
        <f aca="false">Historico!$E$23+I14-I15</f>
        <v>376.9</v>
      </c>
      <c r="J39" s="17" t="n">
        <f aca="false">Historico!$E$23+J14-J15</f>
        <v>376.9</v>
      </c>
      <c r="K39" s="17" t="n">
        <f aca="false">Historico!$E$23+K14-K15</f>
        <v>376.9</v>
      </c>
      <c r="L39" s="17" t="n">
        <f aca="false">Historico!$E$23+L14-L15</f>
        <v>376.9</v>
      </c>
      <c r="M39" s="17" t="n">
        <f aca="false">Historico!$E$23+M14-M15</f>
        <v>376.9</v>
      </c>
      <c r="N39" s="17" t="n">
        <f aca="false">Historico!$E$23+N14-N15</f>
        <v>376.9</v>
      </c>
      <c r="O39" s="17" t="n">
        <f aca="false">Historico!$E$23+O14-O15</f>
        <v>376.9</v>
      </c>
      <c r="P39" s="17" t="n">
        <f aca="false">Historico!$E$23+P14-P15</f>
        <v>376.9</v>
      </c>
      <c r="Q39" s="17" t="n">
        <f aca="false">Historico!$E$23+Q14-Q15</f>
        <v>376.9</v>
      </c>
    </row>
    <row r="40" customFormat="false" ht="15" hidden="false" customHeight="false" outlineLevel="0" collapsed="false">
      <c r="A40" s="9" t="s">
        <v>60</v>
      </c>
      <c r="B40" s="16" t="n">
        <f aca="false">B38+B39</f>
        <v>1285.004</v>
      </c>
      <c r="C40" s="16" t="n">
        <f aca="false">C38+C39</f>
        <v>1330.4092</v>
      </c>
      <c r="D40" s="16" t="n">
        <f aca="false">D38+D39</f>
        <v>1375.8144</v>
      </c>
      <c r="E40" s="16" t="n">
        <f aca="false">E38+E39</f>
        <v>1421.2196</v>
      </c>
      <c r="F40" s="16" t="n">
        <f aca="false">F38+F39</f>
        <v>1466.6248</v>
      </c>
      <c r="G40" s="16" t="n">
        <f aca="false">G38+G39</f>
        <v>1512.03</v>
      </c>
      <c r="H40" s="16" t="n">
        <f aca="false">H38+H39</f>
        <v>1557.4352</v>
      </c>
      <c r="I40" s="16" t="n">
        <f aca="false">I38+I39</f>
        <v>1602.8404</v>
      </c>
      <c r="J40" s="16" t="n">
        <f aca="false">J38+J39</f>
        <v>1239.1992</v>
      </c>
      <c r="K40" s="16" t="n">
        <f aca="false">K38+K39</f>
        <v>1252.18</v>
      </c>
      <c r="L40" s="16" t="n">
        <f aca="false">L38+L39</f>
        <v>1293.86</v>
      </c>
      <c r="M40" s="16" t="n">
        <f aca="false">M38+M39</f>
        <v>1335.54</v>
      </c>
      <c r="N40" s="16" t="n">
        <f aca="false">N38+N39</f>
        <v>1377.22</v>
      </c>
      <c r="O40" s="16" t="n">
        <f aca="false">O38+O39</f>
        <v>1418.9</v>
      </c>
      <c r="P40" s="16" t="n">
        <f aca="false">P38+P39</f>
        <v>1460.58</v>
      </c>
      <c r="Q40" s="16" t="n">
        <f aca="false">Q38+Q39</f>
        <v>1502.26</v>
      </c>
    </row>
    <row r="42" customFormat="false" ht="15" hidden="false" customHeight="false" outlineLevel="0" collapsed="false">
      <c r="A42" s="9" t="s">
        <v>67</v>
      </c>
      <c r="B42" s="17" t="n">
        <f aca="false">Historico!$E$33*(1+B7)</f>
        <v>185.1</v>
      </c>
      <c r="C42" s="17" t="n">
        <f aca="false">Historico!$E$33*(1+C7)</f>
        <v>194.355</v>
      </c>
      <c r="D42" s="17" t="n">
        <f aca="false">Historico!$E$33*(1+D7)</f>
        <v>203.61</v>
      </c>
      <c r="E42" s="17" t="n">
        <f aca="false">Historico!$E$33*(1+E7)</f>
        <v>212.865</v>
      </c>
      <c r="F42" s="17" t="n">
        <f aca="false">Historico!$E$33*(1+F7)</f>
        <v>222.12</v>
      </c>
      <c r="G42" s="17" t="n">
        <f aca="false">Historico!$E$33*(1+G7)</f>
        <v>231.375</v>
      </c>
      <c r="H42" s="17" t="n">
        <f aca="false">Historico!$E$33*(1+H7)</f>
        <v>240.63</v>
      </c>
      <c r="I42" s="17" t="n">
        <f aca="false">Historico!$E$33*(1+I7)</f>
        <v>249.885</v>
      </c>
      <c r="J42" s="17" t="n">
        <f aca="false">Historico!$E$33*(1+J7)</f>
        <v>185.1</v>
      </c>
      <c r="K42" s="17" t="n">
        <f aca="false">Historico!$E$33*(1+K7)</f>
        <v>194.355</v>
      </c>
      <c r="L42" s="17" t="n">
        <f aca="false">Historico!$E$33*(1+L7)</f>
        <v>203.61</v>
      </c>
      <c r="M42" s="17" t="n">
        <f aca="false">Historico!$E$33*(1+M7)</f>
        <v>212.865</v>
      </c>
      <c r="N42" s="17" t="n">
        <f aca="false">Historico!$E$33*(1+N7)</f>
        <v>222.12</v>
      </c>
      <c r="O42" s="17" t="n">
        <f aca="false">Historico!$E$33*(1+O7)</f>
        <v>231.375</v>
      </c>
      <c r="P42" s="17" t="n">
        <f aca="false">Historico!$E$33*(1+P7)</f>
        <v>240.63</v>
      </c>
      <c r="Q42" s="17" t="n">
        <f aca="false">Historico!$E$33*(1+Q7)</f>
        <v>249.885</v>
      </c>
    </row>
    <row r="43" customFormat="false" ht="15" hidden="false" customHeight="false" outlineLevel="0" collapsed="false">
      <c r="A43" s="9" t="s">
        <v>148</v>
      </c>
      <c r="B43" s="17" t="n">
        <f aca="false">B42*B10/365</f>
        <v>5</v>
      </c>
      <c r="C43" s="17" t="n">
        <f aca="false">C42*C10/365</f>
        <v>5.25</v>
      </c>
      <c r="D43" s="17" t="n">
        <f aca="false">D42*D10/365</f>
        <v>5.5</v>
      </c>
      <c r="E43" s="17" t="n">
        <f aca="false">E42*E10/365</f>
        <v>5.75</v>
      </c>
      <c r="F43" s="17" t="n">
        <f aca="false">F42*F10/365</f>
        <v>6</v>
      </c>
      <c r="G43" s="17" t="n">
        <f aca="false">G42*G10/365</f>
        <v>6.25</v>
      </c>
      <c r="H43" s="17" t="n">
        <f aca="false">H42*H10/365</f>
        <v>6.5</v>
      </c>
      <c r="I43" s="17" t="n">
        <f aca="false">I42*I10/365</f>
        <v>6.75</v>
      </c>
      <c r="J43" s="17" t="n">
        <f aca="false">J42*J10/365</f>
        <v>5</v>
      </c>
      <c r="K43" s="17" t="n">
        <f aca="false">K42*K10/365</f>
        <v>5.25</v>
      </c>
      <c r="L43" s="17" t="n">
        <f aca="false">L42*L10/365</f>
        <v>5.5</v>
      </c>
      <c r="M43" s="17" t="n">
        <f aca="false">M42*M10/365</f>
        <v>5.75</v>
      </c>
      <c r="N43" s="17" t="n">
        <f aca="false">N42*N10/365</f>
        <v>6</v>
      </c>
      <c r="O43" s="17" t="n">
        <f aca="false">O42*O10/365</f>
        <v>6.25</v>
      </c>
      <c r="P43" s="17" t="n">
        <f aca="false">P42*P10/365</f>
        <v>6.5</v>
      </c>
      <c r="Q43" s="17" t="n">
        <f aca="false">Q42*Q10/365</f>
        <v>6.75</v>
      </c>
    </row>
    <row r="44" customFormat="false" ht="15" hidden="false" customHeight="false" outlineLevel="0" collapsed="false">
      <c r="A44" s="9" t="s">
        <v>62</v>
      </c>
      <c r="B44" s="17" t="n">
        <f aca="false">B20*Historico!$E$27/Historico!$E$8</f>
        <v>24.4</v>
      </c>
      <c r="C44" s="17" t="n">
        <f aca="false">C20*Historico!$E$27/Historico!$E$8</f>
        <v>25.62</v>
      </c>
      <c r="D44" s="17" t="n">
        <f aca="false">D20*Historico!$E$27/Historico!$E$8</f>
        <v>26.84</v>
      </c>
      <c r="E44" s="17" t="n">
        <f aca="false">E20*Historico!$E$27/Historico!$E$8</f>
        <v>28.06</v>
      </c>
      <c r="F44" s="17" t="n">
        <f aca="false">F20*Historico!$E$27/Historico!$E$8</f>
        <v>29.28</v>
      </c>
      <c r="G44" s="17" t="n">
        <f aca="false">G20*Historico!$E$27/Historico!$E$8</f>
        <v>30.5</v>
      </c>
      <c r="H44" s="17" t="n">
        <f aca="false">H20*Historico!$E$27/Historico!$E$8</f>
        <v>31.72</v>
      </c>
      <c r="I44" s="17" t="n">
        <f aca="false">I20*Historico!$E$27/Historico!$E$8</f>
        <v>32.94</v>
      </c>
      <c r="J44" s="17" t="n">
        <f aca="false">J20*Historico!$E$27/Historico!$E$8</f>
        <v>24.4</v>
      </c>
      <c r="K44" s="17" t="n">
        <f aca="false">K20*Historico!$E$27/Historico!$E$8</f>
        <v>25.62</v>
      </c>
      <c r="L44" s="17" t="n">
        <f aca="false">L20*Historico!$E$27/Historico!$E$8</f>
        <v>26.84</v>
      </c>
      <c r="M44" s="17" t="n">
        <f aca="false">M20*Historico!$E$27/Historico!$E$8</f>
        <v>28.06</v>
      </c>
      <c r="N44" s="17" t="n">
        <f aca="false">N20*Historico!$E$27/Historico!$E$8</f>
        <v>29.28</v>
      </c>
      <c r="O44" s="17" t="n">
        <f aca="false">O20*Historico!$E$27/Historico!$E$8</f>
        <v>30.5</v>
      </c>
      <c r="P44" s="17" t="n">
        <f aca="false">P20*Historico!$E$27/Historico!$E$8</f>
        <v>31.72</v>
      </c>
      <c r="Q44" s="17" t="n">
        <f aca="false">Q20*Historico!$E$27/Historico!$E$8</f>
        <v>32.94</v>
      </c>
    </row>
    <row r="45" customFormat="false" ht="15" hidden="false" customHeight="false" outlineLevel="0" collapsed="false">
      <c r="A45" s="9" t="s">
        <v>63</v>
      </c>
      <c r="B45" s="17" t="n">
        <f aca="false">B20*Historico!$E$28/Historico!$E$8</f>
        <v>17.9</v>
      </c>
      <c r="C45" s="17" t="n">
        <f aca="false">C20*Historico!$E$28/Historico!$E$8</f>
        <v>18.795</v>
      </c>
      <c r="D45" s="17" t="n">
        <f aca="false">D20*Historico!$E$28/Historico!$E$8</f>
        <v>19.69</v>
      </c>
      <c r="E45" s="17" t="n">
        <f aca="false">E20*Historico!$E$28/Historico!$E$8</f>
        <v>20.585</v>
      </c>
      <c r="F45" s="17" t="n">
        <f aca="false">F20*Historico!$E$28/Historico!$E$8</f>
        <v>21.48</v>
      </c>
      <c r="G45" s="17" t="n">
        <f aca="false">G20*Historico!$E$28/Historico!$E$8</f>
        <v>22.375</v>
      </c>
      <c r="H45" s="17" t="n">
        <f aca="false">H20*Historico!$E$28/Historico!$E$8</f>
        <v>23.27</v>
      </c>
      <c r="I45" s="17" t="n">
        <f aca="false">I20*Historico!$E$28/Historico!$E$8</f>
        <v>24.165</v>
      </c>
      <c r="J45" s="17" t="n">
        <f aca="false">J20*Historico!$E$28/Historico!$E$8</f>
        <v>17.9</v>
      </c>
      <c r="K45" s="17" t="n">
        <f aca="false">K20*Historico!$E$28/Historico!$E$8</f>
        <v>18.795</v>
      </c>
      <c r="L45" s="17" t="n">
        <f aca="false">L20*Historico!$E$28/Historico!$E$8</f>
        <v>19.69</v>
      </c>
      <c r="M45" s="17" t="n">
        <f aca="false">M20*Historico!$E$28/Historico!$E$8</f>
        <v>20.585</v>
      </c>
      <c r="N45" s="17" t="n">
        <f aca="false">N20*Historico!$E$28/Historico!$E$8</f>
        <v>21.48</v>
      </c>
      <c r="O45" s="17" t="n">
        <f aca="false">O20*Historico!$E$28/Historico!$E$8</f>
        <v>22.375</v>
      </c>
      <c r="P45" s="17" t="n">
        <f aca="false">P20*Historico!$E$28/Historico!$E$8</f>
        <v>23.27</v>
      </c>
      <c r="Q45" s="17" t="n">
        <f aca="false">Q20*Historico!$E$28/Historico!$E$8</f>
        <v>24.165</v>
      </c>
    </row>
    <row r="46" customFormat="false" ht="15" hidden="false" customHeight="false" outlineLevel="0" collapsed="false">
      <c r="A46" s="9" t="s">
        <v>64</v>
      </c>
      <c r="B46" s="16" t="n">
        <f aca="false">SUM(B43:B45)</f>
        <v>47.3</v>
      </c>
      <c r="C46" s="16" t="n">
        <f aca="false">SUM(C43:C45)</f>
        <v>49.665</v>
      </c>
      <c r="D46" s="16" t="n">
        <f aca="false">SUM(D43:D45)</f>
        <v>52.03</v>
      </c>
      <c r="E46" s="16" t="n">
        <f aca="false">SUM(E43:E45)</f>
        <v>54.395</v>
      </c>
      <c r="F46" s="16" t="n">
        <f aca="false">SUM(F43:F45)</f>
        <v>56.76</v>
      </c>
      <c r="G46" s="16" t="n">
        <f aca="false">SUM(G43:G45)</f>
        <v>59.125</v>
      </c>
      <c r="H46" s="16" t="n">
        <f aca="false">SUM(H43:H45)</f>
        <v>61.49</v>
      </c>
      <c r="I46" s="16" t="n">
        <f aca="false">SUM(I43:I45)</f>
        <v>63.855</v>
      </c>
      <c r="J46" s="16" t="n">
        <f aca="false">SUM(J43:J45)</f>
        <v>47.3</v>
      </c>
      <c r="K46" s="16" t="n">
        <f aca="false">SUM(K43:K45)</f>
        <v>49.665</v>
      </c>
      <c r="L46" s="16" t="n">
        <f aca="false">SUM(L43:L45)</f>
        <v>52.03</v>
      </c>
      <c r="M46" s="16" t="n">
        <f aca="false">SUM(M43:M45)</f>
        <v>54.395</v>
      </c>
      <c r="N46" s="16" t="n">
        <f aca="false">SUM(N43:N45)</f>
        <v>56.76</v>
      </c>
      <c r="O46" s="16" t="n">
        <f aca="false">SUM(O43:O45)</f>
        <v>59.125</v>
      </c>
      <c r="P46" s="16" t="n">
        <f aca="false">SUM(P43:P45)</f>
        <v>61.49</v>
      </c>
      <c r="Q46" s="16" t="n">
        <f aca="false">SUM(Q43:Q45)</f>
        <v>63.855</v>
      </c>
    </row>
    <row r="47" customFormat="false" ht="15" hidden="false" customHeight="false" outlineLevel="0" collapsed="false">
      <c r="A47" s="9" t="s">
        <v>149</v>
      </c>
      <c r="B47" s="33" t="n">
        <f aca="false">MAX(B57,0)</f>
        <v>47.6894885890387</v>
      </c>
      <c r="C47" s="33" t="n">
        <f aca="false">MAX(C57,0)</f>
        <v>88.0410211560888</v>
      </c>
      <c r="D47" s="33" t="n">
        <f aca="false">MAX(D57,0)</f>
        <v>128.392553723139</v>
      </c>
      <c r="E47" s="33" t="n">
        <f aca="false">MAX(E57,0)</f>
        <v>168.744086290188</v>
      </c>
      <c r="F47" s="33" t="n">
        <f aca="false">MAX(F57,0)</f>
        <v>209.095618857238</v>
      </c>
      <c r="G47" s="33" t="n">
        <f aca="false">MAX(G57,0)</f>
        <v>249.447151424288</v>
      </c>
      <c r="H47" s="33" t="n">
        <f aca="false">MAX(H57,0)</f>
        <v>289.798683991337</v>
      </c>
      <c r="I47" s="33" t="n">
        <f aca="false">MAX(I57,0)</f>
        <v>330.150216558387</v>
      </c>
      <c r="J47" s="33" t="n">
        <f aca="false">MAX(J57,0)</f>
        <v>0</v>
      </c>
      <c r="K47" s="33" t="n">
        <f aca="false">MAX(K57,0)</f>
        <v>6.59299516908227</v>
      </c>
      <c r="L47" s="33" t="n">
        <f aca="false">MAX(L57,0)</f>
        <v>43.0660503081793</v>
      </c>
      <c r="M47" s="33" t="n">
        <f aca="false">MAX(M57,0)</f>
        <v>79.5391054472763</v>
      </c>
      <c r="N47" s="33" t="n">
        <f aca="false">MAX(N57,0)</f>
        <v>116.012160586373</v>
      </c>
      <c r="O47" s="33" t="n">
        <f aca="false">MAX(O57,0)</f>
        <v>152.485215725471</v>
      </c>
      <c r="P47" s="33" t="n">
        <f aca="false">MAX(P57,0)</f>
        <v>188.958270864567</v>
      </c>
      <c r="Q47" s="33" t="n">
        <f aca="false">MAX(Q57,0)</f>
        <v>225.431326003665</v>
      </c>
    </row>
    <row r="48" customFormat="false" ht="15" hidden="false" customHeight="false" outlineLevel="0" collapsed="false">
      <c r="A48" s="9" t="s">
        <v>150</v>
      </c>
      <c r="B48" s="17" t="n">
        <f aca="false">Historico!$E$30+B29</f>
        <v>1190.01451141096</v>
      </c>
      <c r="C48" s="17" t="n">
        <f aca="false">Historico!$E$30+C29</f>
        <v>1192.70317884391</v>
      </c>
      <c r="D48" s="17" t="n">
        <f aca="false">Historico!$E$30+D29</f>
        <v>1195.39184627686</v>
      </c>
      <c r="E48" s="17" t="n">
        <f aca="false">Historico!$E$30+E29</f>
        <v>1198.08051370981</v>
      </c>
      <c r="F48" s="17" t="n">
        <f aca="false">Historico!$E$30+F29</f>
        <v>1200.76918114276</v>
      </c>
      <c r="G48" s="17" t="n">
        <f aca="false">Historico!$E$30+G29</f>
        <v>1203.45784857571</v>
      </c>
      <c r="H48" s="17" t="n">
        <f aca="false">Historico!$E$30+H29</f>
        <v>1206.14651600866</v>
      </c>
      <c r="I48" s="17" t="n">
        <f aca="false">Historico!$E$30+I29</f>
        <v>1208.83518344161</v>
      </c>
      <c r="J48" s="17" t="n">
        <f aca="false">Historico!$E$30+J29</f>
        <v>1191.8992</v>
      </c>
      <c r="K48" s="17" t="n">
        <f aca="false">Historico!$E$30+K29</f>
        <v>1195.92200483092</v>
      </c>
      <c r="L48" s="17" t="n">
        <f aca="false">Historico!$E$30+L29</f>
        <v>1198.76394969182</v>
      </c>
      <c r="M48" s="17" t="n">
        <f aca="false">Historico!$E$30+M29</f>
        <v>1201.60589455272</v>
      </c>
      <c r="N48" s="17" t="n">
        <f aca="false">Historico!$E$30+N29</f>
        <v>1204.44783941363</v>
      </c>
      <c r="O48" s="17" t="n">
        <f aca="false">Historico!$E$30+O29</f>
        <v>1207.28978427453</v>
      </c>
      <c r="P48" s="17" t="n">
        <f aca="false">Historico!$E$30+P29</f>
        <v>1210.13172913543</v>
      </c>
      <c r="Q48" s="17" t="n">
        <f aca="false">Historico!$E$30+Q29</f>
        <v>1212.97367399634</v>
      </c>
    </row>
    <row r="49" customFormat="false" ht="15" hidden="false" customHeight="false" outlineLevel="0" collapsed="false">
      <c r="A49" s="9" t="s">
        <v>151</v>
      </c>
      <c r="B49" s="16" t="n">
        <f aca="false">B46+B47+B48</f>
        <v>1285.004</v>
      </c>
      <c r="C49" s="16" t="n">
        <f aca="false">C46+C47+C48</f>
        <v>1330.4092</v>
      </c>
      <c r="D49" s="16" t="n">
        <f aca="false">D46+D47+D48</f>
        <v>1375.8144</v>
      </c>
      <c r="E49" s="16" t="n">
        <f aca="false">E46+E47+E48</f>
        <v>1421.2196</v>
      </c>
      <c r="F49" s="16" t="n">
        <f aca="false">F46+F47+F48</f>
        <v>1466.6248</v>
      </c>
      <c r="G49" s="16" t="n">
        <f aca="false">G46+G47+G48</f>
        <v>1512.03</v>
      </c>
      <c r="H49" s="16" t="n">
        <f aca="false">H46+H47+H48</f>
        <v>1557.4352</v>
      </c>
      <c r="I49" s="16" t="n">
        <f aca="false">I46+I47+I48</f>
        <v>1602.8404</v>
      </c>
      <c r="J49" s="16" t="n">
        <f aca="false">J46+J47+J48</f>
        <v>1239.1992</v>
      </c>
      <c r="K49" s="16" t="n">
        <f aca="false">K46+K47+K48</f>
        <v>1252.18</v>
      </c>
      <c r="L49" s="16" t="n">
        <f aca="false">L46+L47+L48</f>
        <v>1293.86</v>
      </c>
      <c r="M49" s="16" t="n">
        <f aca="false">M46+M47+M48</f>
        <v>1335.54</v>
      </c>
      <c r="N49" s="16" t="n">
        <f aca="false">N46+N47+N48</f>
        <v>1377.22</v>
      </c>
      <c r="O49" s="16" t="n">
        <f aca="false">O46+O47+O48</f>
        <v>1418.9</v>
      </c>
      <c r="P49" s="16" t="n">
        <f aca="false">P46+P47+P48</f>
        <v>1460.58</v>
      </c>
      <c r="Q49" s="16" t="n">
        <f aca="false">Q46+Q47+Q48</f>
        <v>1502.26</v>
      </c>
    </row>
    <row r="50" customFormat="false" ht="15" hidden="false" customHeight="false" outlineLevel="0" collapsed="false">
      <c r="A50" s="9" t="s">
        <v>152</v>
      </c>
      <c r="B50" s="27" t="n">
        <f aca="false">ROUND(B40-B49,6)</f>
        <v>0</v>
      </c>
      <c r="C50" s="27" t="n">
        <f aca="false">ROUND(C40-C49,6)</f>
        <v>0</v>
      </c>
      <c r="D50" s="27" t="n">
        <f aca="false">ROUND(D40-D49,6)</f>
        <v>0</v>
      </c>
      <c r="E50" s="27" t="n">
        <f aca="false">ROUND(E40-E49,6)</f>
        <v>0</v>
      </c>
      <c r="F50" s="27" t="n">
        <f aca="false">ROUND(F40-F49,6)</f>
        <v>0</v>
      </c>
      <c r="G50" s="27" t="n">
        <f aca="false">ROUND(G40-G49,6)</f>
        <v>0</v>
      </c>
      <c r="H50" s="27" t="n">
        <f aca="false">ROUND(H40-H49,6)</f>
        <v>0</v>
      </c>
      <c r="I50" s="27" t="n">
        <f aca="false">ROUND(I40-I49,6)</f>
        <v>0</v>
      </c>
      <c r="J50" s="27" t="n">
        <f aca="false">ROUND(J40-J49,6)</f>
        <v>0</v>
      </c>
      <c r="K50" s="27" t="n">
        <f aca="false">ROUND(K40-K49,6)</f>
        <v>0</v>
      </c>
      <c r="L50" s="27" t="n">
        <f aca="false">ROUND(L40-L49,6)</f>
        <v>0</v>
      </c>
      <c r="M50" s="27" t="n">
        <f aca="false">ROUND(M40-M49,6)</f>
        <v>0</v>
      </c>
      <c r="N50" s="27" t="n">
        <f aca="false">ROUND(N40-N49,6)</f>
        <v>0</v>
      </c>
      <c r="O50" s="27" t="n">
        <f aca="false">ROUND(O40-O49,6)</f>
        <v>0</v>
      </c>
      <c r="P50" s="27" t="n">
        <f aca="false">ROUND(P40-P49,6)</f>
        <v>0</v>
      </c>
      <c r="Q50" s="27" t="n">
        <f aca="false">ROUND(Q40-Q49,6)</f>
        <v>0</v>
      </c>
    </row>
    <row r="52" customFormat="false" ht="15" hidden="false" customHeight="false" outlineLevel="0" collapsed="false">
      <c r="A52" s="3" t="s">
        <v>153</v>
      </c>
    </row>
    <row r="53" customFormat="false" ht="15" hidden="false" customHeight="false" outlineLevel="0" collapsed="false">
      <c r="A53" s="9" t="s">
        <v>154</v>
      </c>
      <c r="B53" s="17" t="n">
        <f aca="false">B32+B35+B36+B37+B39</f>
        <v>1285.004</v>
      </c>
      <c r="C53" s="17" t="n">
        <f aca="false">C32+C35+C36+C37+C39</f>
        <v>1330.4092</v>
      </c>
      <c r="D53" s="17" t="n">
        <f aca="false">D32+D35+D36+D37+D39</f>
        <v>1375.8144</v>
      </c>
      <c r="E53" s="17" t="n">
        <f aca="false">E32+E35+E36+E37+E39</f>
        <v>1421.2196</v>
      </c>
      <c r="F53" s="17" t="n">
        <f aca="false">F32+F35+F36+F37+F39</f>
        <v>1466.6248</v>
      </c>
      <c r="G53" s="17" t="n">
        <f aca="false">G32+G35+G36+G37+G39</f>
        <v>1512.03</v>
      </c>
      <c r="H53" s="17" t="n">
        <f aca="false">H32+H35+H36+H37+H39</f>
        <v>1557.4352</v>
      </c>
      <c r="I53" s="17" t="n">
        <f aca="false">I32+I35+I36+I37+I39</f>
        <v>1602.8404</v>
      </c>
      <c r="J53" s="17" t="n">
        <f aca="false">J32+J35+J36+J37+J39</f>
        <v>1210.5</v>
      </c>
      <c r="K53" s="17" t="n">
        <f aca="false">K32+K35+K36+K37+K39</f>
        <v>1252.18</v>
      </c>
      <c r="L53" s="17" t="n">
        <f aca="false">L32+L35+L36+L37+L39</f>
        <v>1293.86</v>
      </c>
      <c r="M53" s="17" t="n">
        <f aca="false">M32+M35+M36+M37+M39</f>
        <v>1335.54</v>
      </c>
      <c r="N53" s="17" t="n">
        <f aca="false">N32+N35+N36+N37+N39</f>
        <v>1377.22</v>
      </c>
      <c r="O53" s="17" t="n">
        <f aca="false">O32+O35+O36+O37+O39</f>
        <v>1418.9</v>
      </c>
      <c r="P53" s="17" t="n">
        <f aca="false">P32+P35+P36+P37+P39</f>
        <v>1460.58</v>
      </c>
      <c r="Q53" s="17" t="n">
        <f aca="false">Q32+Q35+Q36+Q37+Q39</f>
        <v>1502.26</v>
      </c>
    </row>
    <row r="54" customFormat="false" ht="15" hidden="false" customHeight="false" outlineLevel="0" collapsed="false">
      <c r="A54" s="9" t="s">
        <v>155</v>
      </c>
      <c r="B54" s="17" t="n">
        <f aca="false">B46</f>
        <v>47.3</v>
      </c>
      <c r="C54" s="17" t="n">
        <f aca="false">C46</f>
        <v>49.665</v>
      </c>
      <c r="D54" s="17" t="n">
        <f aca="false">D46</f>
        <v>52.03</v>
      </c>
      <c r="E54" s="17" t="n">
        <f aca="false">E46</f>
        <v>54.395</v>
      </c>
      <c r="F54" s="17" t="n">
        <f aca="false">F46</f>
        <v>56.76</v>
      </c>
      <c r="G54" s="17" t="n">
        <f aca="false">G46</f>
        <v>59.125</v>
      </c>
      <c r="H54" s="17" t="n">
        <f aca="false">H46</f>
        <v>61.49</v>
      </c>
      <c r="I54" s="17" t="n">
        <f aca="false">I46</f>
        <v>63.855</v>
      </c>
      <c r="J54" s="17" t="n">
        <f aca="false">J46</f>
        <v>47.3</v>
      </c>
      <c r="K54" s="17" t="n">
        <f aca="false">K46</f>
        <v>49.665</v>
      </c>
      <c r="L54" s="17" t="n">
        <f aca="false">L46</f>
        <v>52.03</v>
      </c>
      <c r="M54" s="17" t="n">
        <f aca="false">M46</f>
        <v>54.395</v>
      </c>
      <c r="N54" s="17" t="n">
        <f aca="false">N46</f>
        <v>56.76</v>
      </c>
      <c r="O54" s="17" t="n">
        <f aca="false">O46</f>
        <v>59.125</v>
      </c>
      <c r="P54" s="17" t="n">
        <f aca="false">P46</f>
        <v>61.49</v>
      </c>
      <c r="Q54" s="17" t="n">
        <f aca="false">Q46</f>
        <v>63.855</v>
      </c>
    </row>
    <row r="55" customFormat="false" ht="15" hidden="false" customHeight="false" outlineLevel="0" collapsed="false">
      <c r="A55" s="9" t="s">
        <v>156</v>
      </c>
      <c r="B55" s="17" t="n">
        <f aca="false">Historico!$E$30+B25*(1-B17)</f>
        <v>1191.8992</v>
      </c>
      <c r="C55" s="17" t="n">
        <f aca="false">Historico!$E$30+C25*(1-C17)</f>
        <v>1196.18256</v>
      </c>
      <c r="D55" s="17" t="n">
        <f aca="false">Historico!$E$30+D25*(1-D17)</f>
        <v>1200.46592</v>
      </c>
      <c r="E55" s="17" t="n">
        <f aca="false">Historico!$E$30+E25*(1-E17)</f>
        <v>1204.74928</v>
      </c>
      <c r="F55" s="17" t="n">
        <f aca="false">Historico!$E$30+F25*(1-F17)</f>
        <v>1209.03264</v>
      </c>
      <c r="G55" s="17" t="n">
        <f aca="false">Historico!$E$30+G25*(1-G17)</f>
        <v>1213.316</v>
      </c>
      <c r="H55" s="17" t="n">
        <f aca="false">Historico!$E$30+H25*(1-H17)</f>
        <v>1217.59936</v>
      </c>
      <c r="I55" s="17" t="n">
        <f aca="false">Historico!$E$30+I25*(1-I17)</f>
        <v>1221.88272</v>
      </c>
      <c r="J55" s="17" t="n">
        <f aca="false">Historico!$E$30+J25*(1-J17)</f>
        <v>1191.8992</v>
      </c>
      <c r="K55" s="17" t="n">
        <f aca="false">Historico!$E$30+K25*(1-K17)</f>
        <v>1196.18256</v>
      </c>
      <c r="L55" s="17" t="n">
        <f aca="false">Historico!$E$30+L25*(1-L17)</f>
        <v>1200.46592</v>
      </c>
      <c r="M55" s="17" t="n">
        <f aca="false">Historico!$E$30+M25*(1-M17)</f>
        <v>1204.74928</v>
      </c>
      <c r="N55" s="17" t="n">
        <f aca="false">Historico!$E$30+N25*(1-N17)</f>
        <v>1209.03264</v>
      </c>
      <c r="O55" s="17" t="n">
        <f aca="false">Historico!$E$30+O25*(1-O17)</f>
        <v>1213.316</v>
      </c>
      <c r="P55" s="17" t="n">
        <f aca="false">Historico!$E$30+P25*(1-P17)</f>
        <v>1217.59936</v>
      </c>
      <c r="Q55" s="17" t="n">
        <f aca="false">Historico!$E$30+Q25*(1-Q17)</f>
        <v>1221.88272</v>
      </c>
    </row>
    <row r="56" customFormat="false" ht="15" hidden="false" customHeight="false" outlineLevel="0" collapsed="false">
      <c r="A56" s="9" t="s">
        <v>157</v>
      </c>
      <c r="B56" s="15" t="n">
        <f aca="false">B53-B54-B55</f>
        <v>45.8047999999999</v>
      </c>
      <c r="C56" s="15" t="n">
        <f aca="false">C53-C54-C55</f>
        <v>84.5616400000001</v>
      </c>
      <c r="D56" s="15" t="n">
        <f aca="false">D53-D54-D55</f>
        <v>123.31848</v>
      </c>
      <c r="E56" s="15" t="n">
        <f aca="false">E53-E54-E55</f>
        <v>162.07532</v>
      </c>
      <c r="F56" s="15" t="n">
        <f aca="false">F53-F54-F55</f>
        <v>200.832159999999</v>
      </c>
      <c r="G56" s="15" t="n">
        <f aca="false">G53-G54-G55</f>
        <v>239.589</v>
      </c>
      <c r="H56" s="15" t="n">
        <f aca="false">H53-H54-H55</f>
        <v>278.34584</v>
      </c>
      <c r="I56" s="15" t="n">
        <f aca="false">I53-I54-I55</f>
        <v>317.10268</v>
      </c>
      <c r="J56" s="15" t="n">
        <f aca="false">J53-J54-J55</f>
        <v>-28.6992</v>
      </c>
      <c r="K56" s="15" t="n">
        <f aca="false">K53-K54-K55</f>
        <v>6.33244000000013</v>
      </c>
      <c r="L56" s="15" t="n">
        <f aca="false">L53-L54-L55</f>
        <v>41.3640800000001</v>
      </c>
      <c r="M56" s="15" t="n">
        <f aca="false">M53-M54-M55</f>
        <v>76.39572</v>
      </c>
      <c r="N56" s="15" t="n">
        <f aca="false">N53-N54-N55</f>
        <v>111.42736</v>
      </c>
      <c r="O56" s="15" t="n">
        <f aca="false">O53-O54-O55</f>
        <v>146.459</v>
      </c>
      <c r="P56" s="15" t="n">
        <f aca="false">P53-P54-P55</f>
        <v>181.49064</v>
      </c>
      <c r="Q56" s="15" t="n">
        <f aca="false">Q53-Q54-Q55</f>
        <v>216.52228</v>
      </c>
    </row>
    <row r="57" customFormat="false" ht="15" hidden="false" customHeight="false" outlineLevel="0" collapsed="false">
      <c r="A57" s="9" t="s">
        <v>158</v>
      </c>
      <c r="B57" s="33" t="n">
        <f aca="false">IF(B56&gt;0,B56/(1-B16*(1-B17)),B56)</f>
        <v>47.6894885890387</v>
      </c>
      <c r="C57" s="33" t="n">
        <f aca="false">IF(C56&gt;0,C56/(1-C16*(1-C17)),C56)</f>
        <v>88.0410211560888</v>
      </c>
      <c r="D57" s="33" t="n">
        <f aca="false">IF(D56&gt;0,D56/(1-D16*(1-D17)),D56)</f>
        <v>128.392553723139</v>
      </c>
      <c r="E57" s="33" t="n">
        <f aca="false">IF(E56&gt;0,E56/(1-E16*(1-E17)),E56)</f>
        <v>168.744086290188</v>
      </c>
      <c r="F57" s="33" t="n">
        <f aca="false">IF(F56&gt;0,F56/(1-F16*(1-F17)),F56)</f>
        <v>209.095618857238</v>
      </c>
      <c r="G57" s="33" t="n">
        <f aca="false">IF(G56&gt;0,G56/(1-G16*(1-G17)),G56)</f>
        <v>249.447151424288</v>
      </c>
      <c r="H57" s="33" t="n">
        <f aca="false">IF(H56&gt;0,H56/(1-H16*(1-H17)),H56)</f>
        <v>289.798683991337</v>
      </c>
      <c r="I57" s="33" t="n">
        <f aca="false">IF(I56&gt;0,I56/(1-I16*(1-I17)),I56)</f>
        <v>330.150216558387</v>
      </c>
      <c r="J57" s="33" t="n">
        <f aca="false">IF(J56&gt;0,J56/(1-J16*(1-J17)),J56)</f>
        <v>-28.6992</v>
      </c>
      <c r="K57" s="33" t="n">
        <f aca="false">IF(K56&gt;0,K56/(1-K16*(1-K17)),K56)</f>
        <v>6.59299516908227</v>
      </c>
      <c r="L57" s="33" t="n">
        <f aca="false">IF(L56&gt;0,L56/(1-L16*(1-L17)),L56)</f>
        <v>43.0660503081793</v>
      </c>
      <c r="M57" s="33" t="n">
        <f aca="false">IF(M56&gt;0,M56/(1-M16*(1-M17)),M56)</f>
        <v>79.5391054472763</v>
      </c>
      <c r="N57" s="33" t="n">
        <f aca="false">IF(N56&gt;0,N56/(1-N16*(1-N17)),N56)</f>
        <v>116.012160586373</v>
      </c>
      <c r="O57" s="33" t="n">
        <f aca="false">IF(O56&gt;0,O56/(1-O16*(1-O17)),O56)</f>
        <v>152.485215725471</v>
      </c>
      <c r="P57" s="33" t="n">
        <f aca="false">IF(P56&gt;0,P56/(1-P16*(1-P17)),P56)</f>
        <v>188.958270864567</v>
      </c>
      <c r="Q57" s="33" t="n">
        <f aca="false">IF(Q56&gt;0,Q56/(1-Q16*(1-Q17)),Q56)</f>
        <v>225.431326003665</v>
      </c>
    </row>
    <row r="59" customFormat="false" ht="15" hidden="false" customHeight="false" outlineLevel="0" collapsed="false">
      <c r="A59" s="3" t="s">
        <v>159</v>
      </c>
    </row>
    <row r="60" customFormat="false" ht="15" hidden="false" customHeight="false" outlineLevel="0" collapsed="false">
      <c r="A60" s="9" t="s">
        <v>4</v>
      </c>
      <c r="B60" s="17" t="n">
        <f aca="false">B29</f>
        <v>55.8145114109612</v>
      </c>
      <c r="C60" s="17" t="n">
        <f aca="false">C29</f>
        <v>58.5031788439114</v>
      </c>
      <c r="D60" s="17" t="n">
        <f aca="false">D29</f>
        <v>61.1918462768616</v>
      </c>
      <c r="E60" s="17" t="n">
        <f aca="false">E29</f>
        <v>63.8805137098117</v>
      </c>
      <c r="F60" s="17" t="n">
        <f aca="false">F29</f>
        <v>66.569181142762</v>
      </c>
      <c r="G60" s="17" t="n">
        <f aca="false">G29</f>
        <v>69.2578485757121</v>
      </c>
      <c r="H60" s="17" t="n">
        <f aca="false">H29</f>
        <v>71.9465160086624</v>
      </c>
      <c r="I60" s="17" t="n">
        <f aca="false">I29</f>
        <v>74.6351834416125</v>
      </c>
      <c r="J60" s="17" t="n">
        <f aca="false">J29</f>
        <v>57.6992</v>
      </c>
      <c r="K60" s="17" t="n">
        <f aca="false">K29</f>
        <v>61.7220048309179</v>
      </c>
      <c r="L60" s="17" t="n">
        <f aca="false">L29</f>
        <v>64.5639496918207</v>
      </c>
      <c r="M60" s="17" t="n">
        <f aca="false">M29</f>
        <v>67.4058945527236</v>
      </c>
      <c r="N60" s="17" t="n">
        <f aca="false">N29</f>
        <v>70.2478394136265</v>
      </c>
      <c r="O60" s="17" t="n">
        <f aca="false">O29</f>
        <v>73.0897842745294</v>
      </c>
      <c r="P60" s="17" t="n">
        <f aca="false">P29</f>
        <v>75.9317291354323</v>
      </c>
      <c r="Q60" s="17" t="n">
        <f aca="false">Q29</f>
        <v>78.7736739963352</v>
      </c>
    </row>
    <row r="61" customFormat="false" ht="15" hidden="false" customHeight="false" outlineLevel="0" collapsed="false">
      <c r="A61" s="9" t="s">
        <v>104</v>
      </c>
      <c r="B61" s="17" t="n">
        <f aca="false">B24</f>
        <v>46</v>
      </c>
      <c r="C61" s="17" t="n">
        <f aca="false">C24</f>
        <v>46</v>
      </c>
      <c r="D61" s="17" t="n">
        <f aca="false">D24</f>
        <v>46</v>
      </c>
      <c r="E61" s="17" t="n">
        <f aca="false">E24</f>
        <v>46</v>
      </c>
      <c r="F61" s="17" t="n">
        <f aca="false">F24</f>
        <v>46</v>
      </c>
      <c r="G61" s="17" t="n">
        <f aca="false">G24</f>
        <v>46</v>
      </c>
      <c r="H61" s="17" t="n">
        <f aca="false">H24</f>
        <v>46</v>
      </c>
      <c r="I61" s="17" t="n">
        <f aca="false">I24</f>
        <v>46</v>
      </c>
      <c r="J61" s="17" t="n">
        <f aca="false">J24</f>
        <v>46</v>
      </c>
      <c r="K61" s="17" t="n">
        <f aca="false">K24</f>
        <v>46</v>
      </c>
      <c r="L61" s="17" t="n">
        <f aca="false">L24</f>
        <v>46</v>
      </c>
      <c r="M61" s="17" t="n">
        <f aca="false">M24</f>
        <v>46</v>
      </c>
      <c r="N61" s="17" t="n">
        <f aca="false">N24</f>
        <v>46</v>
      </c>
      <c r="O61" s="17" t="n">
        <f aca="false">O24</f>
        <v>46</v>
      </c>
      <c r="P61" s="17" t="n">
        <f aca="false">P24</f>
        <v>46</v>
      </c>
      <c r="Q61" s="17" t="n">
        <f aca="false">Q24</f>
        <v>46</v>
      </c>
    </row>
    <row r="62" customFormat="false" ht="15" hidden="false" customHeight="false" outlineLevel="0" collapsed="false">
      <c r="A62" s="9" t="s">
        <v>160</v>
      </c>
      <c r="B62" s="17" t="n">
        <f aca="false">-((B35-Historico!$E$19)+(B36-Historico!$E$20)+(B37-Historico!$E$21)-(B46-Historico!$E$29))</f>
        <v>-0</v>
      </c>
      <c r="C62" s="17" t="n">
        <f aca="false">-((C35-Historico!$E$19)+(C36-Historico!$E$20)+(C37-Historico!$E$21)-(C46-Historico!$E$29))</f>
        <v>-38.8450000000001</v>
      </c>
      <c r="D62" s="17" t="n">
        <f aca="false">-((D35-Historico!$E$19)+(D36-Historico!$E$20)+(D37-Historico!$E$21)-(D46-Historico!$E$29))</f>
        <v>-77.6900000000002</v>
      </c>
      <c r="E62" s="17" t="n">
        <f aca="false">-((E35-Historico!$E$19)+(E36-Historico!$E$20)+(E37-Historico!$E$21)-(E46-Historico!$E$29))</f>
        <v>-116.535</v>
      </c>
      <c r="F62" s="17" t="n">
        <f aca="false">-((F35-Historico!$E$19)+(F36-Historico!$E$20)+(F37-Historico!$E$21)-(F46-Historico!$E$29))</f>
        <v>-155.38</v>
      </c>
      <c r="G62" s="17" t="n">
        <f aca="false">-((G35-Historico!$E$19)+(G36-Historico!$E$20)+(G37-Historico!$E$21)-(G46-Historico!$E$29))</f>
        <v>-194.225</v>
      </c>
      <c r="H62" s="17" t="n">
        <f aca="false">-((H35-Historico!$E$19)+(H36-Historico!$E$20)+(H37-Historico!$E$21)-(H46-Historico!$E$29))</f>
        <v>-233.07</v>
      </c>
      <c r="I62" s="17" t="n">
        <f aca="false">-((I35-Historico!$E$19)+(I36-Historico!$E$20)+(I37-Historico!$E$21)-(I46-Historico!$E$29))</f>
        <v>-271.915</v>
      </c>
      <c r="J62" s="17" t="n">
        <f aca="false">-((J35-Historico!$E$19)+(J36-Historico!$E$20)+(J37-Historico!$E$21)-(J46-Historico!$E$29))</f>
        <v>-0</v>
      </c>
      <c r="K62" s="17" t="n">
        <f aca="false">-((K35-Historico!$E$19)+(K36-Historico!$E$20)+(K37-Historico!$E$21)-(K46-Historico!$E$29))</f>
        <v>-38.8450000000001</v>
      </c>
      <c r="L62" s="17" t="n">
        <f aca="false">-((L35-Historico!$E$19)+(L36-Historico!$E$20)+(L37-Historico!$E$21)-(L46-Historico!$E$29))</f>
        <v>-77.6900000000002</v>
      </c>
      <c r="M62" s="17" t="n">
        <f aca="false">-((M35-Historico!$E$19)+(M36-Historico!$E$20)+(M37-Historico!$E$21)-(M46-Historico!$E$29))</f>
        <v>-116.535</v>
      </c>
      <c r="N62" s="17" t="n">
        <f aca="false">-((N35-Historico!$E$19)+(N36-Historico!$E$20)+(N37-Historico!$E$21)-(N46-Historico!$E$29))</f>
        <v>-155.38</v>
      </c>
      <c r="O62" s="17" t="n">
        <f aca="false">-((O35-Historico!$E$19)+(O36-Historico!$E$20)+(O37-Historico!$E$21)-(O46-Historico!$E$29))</f>
        <v>-194.225</v>
      </c>
      <c r="P62" s="17" t="n">
        <f aca="false">-((P35-Historico!$E$19)+(P36-Historico!$E$20)+(P37-Historico!$E$21)-(P46-Historico!$E$29))</f>
        <v>-233.07</v>
      </c>
      <c r="Q62" s="17" t="n">
        <f aca="false">-((Q35-Historico!$E$19)+(Q36-Historico!$E$20)+(Q37-Historico!$E$21)-(Q46-Historico!$E$29))</f>
        <v>-271.915</v>
      </c>
    </row>
    <row r="63" customFormat="false" ht="15" hidden="false" customHeight="false" outlineLevel="0" collapsed="false">
      <c r="A63" s="9" t="s">
        <v>109</v>
      </c>
      <c r="B63" s="16" t="n">
        <f aca="false">B60+B61+B62</f>
        <v>101.814511410961</v>
      </c>
      <c r="C63" s="16" t="n">
        <f aca="false">C60+C61+C62</f>
        <v>65.6581788439113</v>
      </c>
      <c r="D63" s="16" t="n">
        <f aca="false">D60+D61+D62</f>
        <v>29.5018462768613</v>
      </c>
      <c r="E63" s="16" t="n">
        <f aca="false">E60+E61+E62</f>
        <v>-6.65448629018827</v>
      </c>
      <c r="F63" s="16" t="n">
        <f aca="false">F60+F61+F62</f>
        <v>-42.8108188572379</v>
      </c>
      <c r="G63" s="16" t="n">
        <f aca="false">G60+G61+G62</f>
        <v>-78.9671514242879</v>
      </c>
      <c r="H63" s="16" t="n">
        <f aca="false">H60+H61+H62</f>
        <v>-115.123483991338</v>
      </c>
      <c r="I63" s="16" t="n">
        <f aca="false">I60+I61+I62</f>
        <v>-151.279816558388</v>
      </c>
      <c r="J63" s="16" t="n">
        <f aca="false">J60+J61+J62</f>
        <v>103.6992</v>
      </c>
      <c r="K63" s="16" t="n">
        <f aca="false">K60+K61+K62</f>
        <v>68.8770048309178</v>
      </c>
      <c r="L63" s="16" t="n">
        <f aca="false">L60+L61+L62</f>
        <v>32.8739496918205</v>
      </c>
      <c r="M63" s="16" t="n">
        <f aca="false">M60+M61+M62</f>
        <v>-3.1291054472764</v>
      </c>
      <c r="N63" s="16" t="n">
        <f aca="false">N60+N61+N62</f>
        <v>-39.1321605863733</v>
      </c>
      <c r="O63" s="16" t="n">
        <f aca="false">O60+O61+O62</f>
        <v>-75.1352157254706</v>
      </c>
      <c r="P63" s="16" t="n">
        <f aca="false">P60+P61+P62</f>
        <v>-111.138270864568</v>
      </c>
      <c r="Q63" s="16" t="n">
        <f aca="false">Q60+Q61+Q62</f>
        <v>-147.141326003665</v>
      </c>
    </row>
    <row r="64" customFormat="false" ht="15" hidden="false" customHeight="false" outlineLevel="0" collapsed="false">
      <c r="A64" s="9" t="s">
        <v>110</v>
      </c>
      <c r="B64" s="17" t="n">
        <f aca="false">-B14</f>
        <v>-75</v>
      </c>
      <c r="C64" s="17" t="n">
        <f aca="false">-C14</f>
        <v>-75</v>
      </c>
      <c r="D64" s="17" t="n">
        <f aca="false">-D14</f>
        <v>-75</v>
      </c>
      <c r="E64" s="17" t="n">
        <f aca="false">-E14</f>
        <v>-75</v>
      </c>
      <c r="F64" s="17" t="n">
        <f aca="false">-F14</f>
        <v>-75</v>
      </c>
      <c r="G64" s="17" t="n">
        <f aca="false">-G14</f>
        <v>-75</v>
      </c>
      <c r="H64" s="17" t="n">
        <f aca="false">-H14</f>
        <v>-75</v>
      </c>
      <c r="I64" s="17" t="n">
        <f aca="false">-I14</f>
        <v>-75</v>
      </c>
      <c r="J64" s="17" t="n">
        <f aca="false">-J14</f>
        <v>-75</v>
      </c>
      <c r="K64" s="17" t="n">
        <f aca="false">-K14</f>
        <v>-75</v>
      </c>
      <c r="L64" s="17" t="n">
        <f aca="false">-L14</f>
        <v>-75</v>
      </c>
      <c r="M64" s="17" t="n">
        <f aca="false">-M14</f>
        <v>-75</v>
      </c>
      <c r="N64" s="17" t="n">
        <f aca="false">-N14</f>
        <v>-75</v>
      </c>
      <c r="O64" s="17" t="n">
        <f aca="false">-O14</f>
        <v>-75</v>
      </c>
      <c r="P64" s="17" t="n">
        <f aca="false">-P14</f>
        <v>-75</v>
      </c>
      <c r="Q64" s="17" t="n">
        <f aca="false">-Q14</f>
        <v>-75</v>
      </c>
    </row>
    <row r="65" customFormat="false" ht="15" hidden="false" customHeight="false" outlineLevel="0" collapsed="false">
      <c r="A65" s="9" t="s">
        <v>111</v>
      </c>
      <c r="B65" s="16" t="n">
        <f aca="false">B63+B64</f>
        <v>26.8145114109612</v>
      </c>
      <c r="C65" s="16" t="n">
        <f aca="false">C63+C64</f>
        <v>-9.34182115608866</v>
      </c>
      <c r="D65" s="16" t="n">
        <f aca="false">D63+D64</f>
        <v>-45.4981537231387</v>
      </c>
      <c r="E65" s="16" t="n">
        <f aca="false">E63+E64</f>
        <v>-81.6544862901883</v>
      </c>
      <c r="F65" s="16" t="n">
        <f aca="false">F63+F64</f>
        <v>-117.810818857238</v>
      </c>
      <c r="G65" s="16" t="n">
        <f aca="false">G63+G64</f>
        <v>-153.967151424288</v>
      </c>
      <c r="H65" s="16" t="n">
        <f aca="false">H63+H64</f>
        <v>-190.123483991338</v>
      </c>
      <c r="I65" s="16" t="n">
        <f aca="false">I63+I64</f>
        <v>-226.279816558388</v>
      </c>
      <c r="J65" s="16" t="n">
        <f aca="false">J63+J64</f>
        <v>28.6992</v>
      </c>
      <c r="K65" s="16" t="n">
        <f aca="false">K63+K64</f>
        <v>-6.12299516908217</v>
      </c>
      <c r="L65" s="16" t="n">
        <f aca="false">L63+L64</f>
        <v>-42.1260503081795</v>
      </c>
      <c r="M65" s="16" t="n">
        <f aca="false">M63+M64</f>
        <v>-78.1291054472764</v>
      </c>
      <c r="N65" s="16" t="n">
        <f aca="false">N63+N64</f>
        <v>-114.132160586373</v>
      </c>
      <c r="O65" s="16" t="n">
        <f aca="false">O63+O64</f>
        <v>-150.135215725471</v>
      </c>
      <c r="P65" s="16" t="n">
        <f aca="false">P63+P64</f>
        <v>-186.138270864568</v>
      </c>
      <c r="Q65" s="16" t="n">
        <f aca="false">Q63+Q64</f>
        <v>-222.141326003665</v>
      </c>
    </row>
    <row r="67" customFormat="false" ht="15" hidden="false" customHeight="false" outlineLevel="0" collapsed="false">
      <c r="A67" s="3" t="s">
        <v>161</v>
      </c>
    </row>
    <row r="68" customFormat="false" ht="15" hidden="false" customHeight="false" outlineLevel="0" collapsed="false">
      <c r="A68" s="9" t="s">
        <v>77</v>
      </c>
      <c r="B68" s="18" t="n">
        <f aca="false">B20/Historico!$E$8-1</f>
        <v>0</v>
      </c>
      <c r="C68" s="18" t="n">
        <f aca="false">C20/Historico!$E$8-1</f>
        <v>0.05</v>
      </c>
      <c r="D68" s="18" t="n">
        <f aca="false">D20/Historico!$E$8-1</f>
        <v>0.1</v>
      </c>
      <c r="E68" s="18" t="n">
        <f aca="false">E20/Historico!$E$8-1</f>
        <v>0.15</v>
      </c>
      <c r="F68" s="18" t="n">
        <f aca="false">F20/Historico!$E$8-1</f>
        <v>0.2</v>
      </c>
      <c r="G68" s="18" t="n">
        <f aca="false">G20/Historico!$E$8-1</f>
        <v>0.25</v>
      </c>
      <c r="H68" s="18" t="n">
        <f aca="false">H20/Historico!$E$8-1</f>
        <v>0.3</v>
      </c>
      <c r="I68" s="18" t="n">
        <f aca="false">I20/Historico!$E$8-1</f>
        <v>0.35</v>
      </c>
      <c r="J68" s="18" t="n">
        <f aca="false">J20/Historico!$E$8-1</f>
        <v>0</v>
      </c>
      <c r="K68" s="18" t="n">
        <f aca="false">K20/Historico!$E$8-1</f>
        <v>0.05</v>
      </c>
      <c r="L68" s="18" t="n">
        <f aca="false">L20/Historico!$E$8-1</f>
        <v>0.1</v>
      </c>
      <c r="M68" s="18" t="n">
        <f aca="false">M20/Historico!$E$8-1</f>
        <v>0.15</v>
      </c>
      <c r="N68" s="18" t="n">
        <f aca="false">N20/Historico!$E$8-1</f>
        <v>0.2</v>
      </c>
      <c r="O68" s="18" t="n">
        <f aca="false">O20/Historico!$E$8-1</f>
        <v>0.25</v>
      </c>
      <c r="P68" s="18" t="n">
        <f aca="false">P20/Historico!$E$8-1</f>
        <v>0.3</v>
      </c>
      <c r="Q68" s="18" t="n">
        <f aca="false">Q20/Historico!$E$8-1</f>
        <v>0.35</v>
      </c>
    </row>
    <row r="69" customFormat="false" ht="15" hidden="false" customHeight="false" outlineLevel="0" collapsed="false">
      <c r="A69" s="9" t="s">
        <v>78</v>
      </c>
      <c r="B69" s="18" t="n">
        <f aca="false">B22/B20</f>
        <v>0.520022883295195</v>
      </c>
      <c r="C69" s="18" t="n">
        <f aca="false">C22/C20</f>
        <v>0.520022883295195</v>
      </c>
      <c r="D69" s="18" t="n">
        <f aca="false">D22/D20</f>
        <v>0.520022883295195</v>
      </c>
      <c r="E69" s="18" t="n">
        <f aca="false">E22/E20</f>
        <v>0.520022883295195</v>
      </c>
      <c r="F69" s="18" t="n">
        <f aca="false">F22/F20</f>
        <v>0.520022883295195</v>
      </c>
      <c r="G69" s="18" t="n">
        <f aca="false">G22/G20</f>
        <v>0.520022883295195</v>
      </c>
      <c r="H69" s="18" t="n">
        <f aca="false">H22/H20</f>
        <v>0.520022883295195</v>
      </c>
      <c r="I69" s="18" t="n">
        <f aca="false">I22/I20</f>
        <v>0.520022883295195</v>
      </c>
      <c r="J69" s="18" t="n">
        <f aca="false">J22/J20</f>
        <v>0.520022883295195</v>
      </c>
      <c r="K69" s="18" t="n">
        <f aca="false">K22/K20</f>
        <v>0.520022883295195</v>
      </c>
      <c r="L69" s="18" t="n">
        <f aca="false">L22/L20</f>
        <v>0.520022883295195</v>
      </c>
      <c r="M69" s="18" t="n">
        <f aca="false">M22/M20</f>
        <v>0.520022883295195</v>
      </c>
      <c r="N69" s="18" t="n">
        <f aca="false">N22/N20</f>
        <v>0.520022883295195</v>
      </c>
      <c r="O69" s="18" t="n">
        <f aca="false">O22/O20</f>
        <v>0.520022883295195</v>
      </c>
      <c r="P69" s="18" t="n">
        <f aca="false">P22/P20</f>
        <v>0.520022883295195</v>
      </c>
      <c r="Q69" s="18" t="n">
        <f aca="false">Q22/Q20</f>
        <v>0.520022883295195</v>
      </c>
    </row>
    <row r="70" customFormat="false" ht="15" hidden="false" customHeight="false" outlineLevel="0" collapsed="false">
      <c r="A70" s="9" t="s">
        <v>80</v>
      </c>
      <c r="B70" s="18" t="n">
        <f aca="false">B25/B20</f>
        <v>0.0904843630816171</v>
      </c>
      <c r="C70" s="18" t="n">
        <f aca="false">C25/C20</f>
        <v>0.0925729178017508</v>
      </c>
      <c r="D70" s="18" t="n">
        <f aca="false">D25/D20</f>
        <v>0.0944716039109632</v>
      </c>
      <c r="E70" s="18" t="n">
        <f aca="false">E25/E20</f>
        <v>0.096205186880244</v>
      </c>
      <c r="F70" s="18" t="n">
        <f aca="false">F25/F20</f>
        <v>0.097794304602085</v>
      </c>
      <c r="G70" s="18" t="n">
        <f aca="false">G25/G20</f>
        <v>0.0992562929061785</v>
      </c>
      <c r="H70" s="18" t="n">
        <f aca="false">H25/H20</f>
        <v>0.100605820571496</v>
      </c>
      <c r="I70" s="18" t="n">
        <f aca="false">I25/I20</f>
        <v>0.101855383224567</v>
      </c>
      <c r="J70" s="18" t="n">
        <f aca="false">J25/J20</f>
        <v>0.0904843630816171</v>
      </c>
      <c r="K70" s="18" t="n">
        <f aca="false">K25/K20</f>
        <v>0.0925729178017508</v>
      </c>
      <c r="L70" s="18" t="n">
        <f aca="false">L25/L20</f>
        <v>0.0944716039109632</v>
      </c>
      <c r="M70" s="18" t="n">
        <f aca="false">M25/M20</f>
        <v>0.096205186880244</v>
      </c>
      <c r="N70" s="18" t="n">
        <f aca="false">N25/N20</f>
        <v>0.097794304602085</v>
      </c>
      <c r="O70" s="18" t="n">
        <f aca="false">O25/O20</f>
        <v>0.0992562929061785</v>
      </c>
      <c r="P70" s="18" t="n">
        <f aca="false">P25/P20</f>
        <v>0.100605820571496</v>
      </c>
      <c r="Q70" s="18" t="n">
        <f aca="false">Q25/Q20</f>
        <v>0.101855383224567</v>
      </c>
    </row>
    <row r="71" customFormat="false" ht="15" hidden="false" customHeight="false" outlineLevel="0" collapsed="false">
      <c r="A71" s="9" t="s">
        <v>5</v>
      </c>
      <c r="B71" s="18" t="n">
        <f aca="false">B29/B20</f>
        <v>0.0532174975314275</v>
      </c>
      <c r="C71" s="18" t="n">
        <f aca="false">C29/C20</f>
        <v>0.0531248218770762</v>
      </c>
      <c r="D71" s="18" t="n">
        <f aca="false">D29/D20</f>
        <v>0.0530405712822113</v>
      </c>
      <c r="E71" s="18" t="n">
        <f aca="false">E29/E20</f>
        <v>0.0529636468260303</v>
      </c>
      <c r="F71" s="18" t="n">
        <f aca="false">F29/F20</f>
        <v>0.0528931327411979</v>
      </c>
      <c r="G71" s="18" t="n">
        <f aca="false">G29/G20</f>
        <v>0.0528282597831519</v>
      </c>
      <c r="H71" s="18" t="n">
        <f aca="false">H29/H20</f>
        <v>0.052768377052648</v>
      </c>
      <c r="I71" s="18" t="n">
        <f aca="false">I29/I20</f>
        <v>0.0527129300799591</v>
      </c>
      <c r="J71" s="18" t="n">
        <f aca="false">J29/J20</f>
        <v>0.0550144927536232</v>
      </c>
      <c r="K71" s="18" t="n">
        <f aca="false">K29/K20</f>
        <v>0.0560477324024898</v>
      </c>
      <c r="L71" s="18" t="n">
        <f aca="false">L29/L20</f>
        <v>0.0559634818076249</v>
      </c>
      <c r="M71" s="18" t="n">
        <f aca="false">M29/M20</f>
        <v>0.055886557351444</v>
      </c>
      <c r="N71" s="18" t="n">
        <f aca="false">N29/N20</f>
        <v>0.0558160432666115</v>
      </c>
      <c r="O71" s="18" t="n">
        <f aca="false">O29/O20</f>
        <v>0.0557511703085655</v>
      </c>
      <c r="P71" s="18" t="n">
        <f aca="false">P29/P20</f>
        <v>0.0556912875780616</v>
      </c>
      <c r="Q71" s="18" t="n">
        <f aca="false">Q29/Q20</f>
        <v>0.0556358406053728</v>
      </c>
    </row>
    <row r="72" customFormat="false" ht="15" hidden="false" customHeight="false" outlineLevel="0" collapsed="false">
      <c r="A72" s="9" t="s">
        <v>162</v>
      </c>
      <c r="B72" s="18" t="n">
        <f aca="false">B29/B40</f>
        <v>0.0434352822333325</v>
      </c>
      <c r="C72" s="18" t="n">
        <f aca="false">C29/C40</f>
        <v>0.0439738231244277</v>
      </c>
      <c r="D72" s="18" t="n">
        <f aca="false">D29/D40</f>
        <v>0.0444768177138294</v>
      </c>
      <c r="E72" s="18" t="n">
        <f aca="false">E29/E40</f>
        <v>0.044947672906996</v>
      </c>
      <c r="F72" s="18" t="n">
        <f aca="false">F29/F40</f>
        <v>0.0453893737121873</v>
      </c>
      <c r="G72" s="18" t="n">
        <f aca="false">G29/G40</f>
        <v>0.0458045465868482</v>
      </c>
      <c r="H72" s="18" t="n">
        <f aca="false">H29/H40</f>
        <v>0.0461955117032557</v>
      </c>
      <c r="I72" s="18" t="n">
        <f aca="false">I29/I40</f>
        <v>0.0465643263306893</v>
      </c>
      <c r="J72" s="18" t="n">
        <f aca="false">J29/J40</f>
        <v>0.0465616827383362</v>
      </c>
      <c r="K72" s="18" t="n">
        <f aca="false">K29/K40</f>
        <v>0.0492916392458895</v>
      </c>
      <c r="L72" s="18" t="n">
        <f aca="false">L29/L40</f>
        <v>0.0499002594498792</v>
      </c>
      <c r="M72" s="18" t="n">
        <f aca="false">M29/M40</f>
        <v>0.0504708915889629</v>
      </c>
      <c r="N72" s="18" t="n">
        <f aca="false">N29/N40</f>
        <v>0.0510069846601317</v>
      </c>
      <c r="O72" s="18" t="n">
        <f aca="false">O29/O40</f>
        <v>0.0515115824050528</v>
      </c>
      <c r="P72" s="18" t="n">
        <f aca="false">P29/P40</f>
        <v>0.0519873811331336</v>
      </c>
      <c r="Q72" s="18" t="n">
        <f aca="false">Q29/Q40</f>
        <v>0.0524367779188258</v>
      </c>
    </row>
    <row r="73" customFormat="false" ht="15" hidden="false" customHeight="false" outlineLevel="0" collapsed="false">
      <c r="A73" s="9" t="s">
        <v>6</v>
      </c>
      <c r="B73" s="18" t="n">
        <f aca="false">B29/B48</f>
        <v>0.0469023788161908</v>
      </c>
      <c r="C73" s="18" t="n">
        <f aca="false">C29/C48</f>
        <v>0.0490509121478309</v>
      </c>
      <c r="D73" s="18" t="n">
        <f aca="false">D29/D48</f>
        <v>0.0511897805455577</v>
      </c>
      <c r="E73" s="18" t="n">
        <f aca="false">E29/E48</f>
        <v>0.0533190490779356</v>
      </c>
      <c r="F73" s="18" t="n">
        <f aca="false">F29/F48</f>
        <v>0.0554387822307437</v>
      </c>
      <c r="G73" s="18" t="n">
        <f aca="false">G29/G48</f>
        <v>0.0575490439134852</v>
      </c>
      <c r="H73" s="18" t="n">
        <f aca="false">H29/H48</f>
        <v>0.0596498974658114</v>
      </c>
      <c r="I73" s="18" t="n">
        <f aca="false">I29/I48</f>
        <v>0.0617414056638578</v>
      </c>
      <c r="J73" s="18" t="n">
        <f aca="false">J29/J48</f>
        <v>0.0484094628136339</v>
      </c>
      <c r="K73" s="18" t="n">
        <f aca="false">K29/K48</f>
        <v>0.0516103931373387</v>
      </c>
      <c r="L73" s="18" t="n">
        <f aca="false">L29/L48</f>
        <v>0.0538587681990428</v>
      </c>
      <c r="M73" s="18" t="n">
        <f aca="false">M29/M48</f>
        <v>0.0560965078968876</v>
      </c>
      <c r="N73" s="18" t="n">
        <f aca="false">N29/N48</f>
        <v>0.0583236875146258</v>
      </c>
      <c r="O73" s="18" t="n">
        <f aca="false">O29/O48</f>
        <v>0.0605403816271415</v>
      </c>
      <c r="P73" s="18" t="n">
        <f aca="false">P29/P48</f>
        <v>0.0627466641087752</v>
      </c>
      <c r="Q73" s="18" t="n">
        <f aca="false">Q29/Q48</f>
        <v>0.0649426081415294</v>
      </c>
    </row>
    <row r="74" customFormat="false" ht="15" hidden="false" customHeight="false" outlineLevel="0" collapsed="false">
      <c r="A74" s="9" t="s">
        <v>163</v>
      </c>
      <c r="B74" s="20" t="n">
        <f aca="false">B35/B20*365</f>
        <v>50.9496567505721</v>
      </c>
      <c r="C74" s="20" t="n">
        <f aca="false">C35/C20*365</f>
        <v>50.9496567505721</v>
      </c>
      <c r="D74" s="20" t="n">
        <f aca="false">D35/D20*365</f>
        <v>50.9496567505721</v>
      </c>
      <c r="E74" s="20" t="n">
        <f aca="false">E35/E20*365</f>
        <v>50.9496567505721</v>
      </c>
      <c r="F74" s="20" t="n">
        <f aca="false">F35/F20*365</f>
        <v>50.9496567505721</v>
      </c>
      <c r="G74" s="20" t="n">
        <f aca="false">G35/G20*365</f>
        <v>50.9496567505721</v>
      </c>
      <c r="H74" s="20" t="n">
        <f aca="false">H35/H20*365</f>
        <v>50.9496567505721</v>
      </c>
      <c r="I74" s="20" t="n">
        <f aca="false">I35/I20*365</f>
        <v>50.9496567505721</v>
      </c>
      <c r="J74" s="20" t="n">
        <f aca="false">J35/J20*365</f>
        <v>50.9496567505721</v>
      </c>
      <c r="K74" s="20" t="n">
        <f aca="false">K35/K20*365</f>
        <v>50.9496567505721</v>
      </c>
      <c r="L74" s="20" t="n">
        <f aca="false">L35/L20*365</f>
        <v>50.9496567505721</v>
      </c>
      <c r="M74" s="20" t="n">
        <f aca="false">M35/M20*365</f>
        <v>50.9496567505721</v>
      </c>
      <c r="N74" s="20" t="n">
        <f aca="false">N35/N20*365</f>
        <v>50.9496567505721</v>
      </c>
      <c r="O74" s="20" t="n">
        <f aca="false">O35/O20*365</f>
        <v>50.9496567505721</v>
      </c>
      <c r="P74" s="20" t="n">
        <f aca="false">P35/P20*365</f>
        <v>50.9496567505721</v>
      </c>
      <c r="Q74" s="20" t="n">
        <f aca="false">Q35/Q20*365</f>
        <v>50.9496567505721</v>
      </c>
    </row>
    <row r="75" customFormat="false" ht="15" hidden="false" customHeight="false" outlineLevel="0" collapsed="false">
      <c r="A75" s="9" t="s">
        <v>164</v>
      </c>
      <c r="B75" s="20" t="n">
        <f aca="false">B36/B21*365</f>
        <v>476.298172427493</v>
      </c>
      <c r="C75" s="20" t="n">
        <f aca="false">C36/C21*365</f>
        <v>476.298172427493</v>
      </c>
      <c r="D75" s="20" t="n">
        <f aca="false">D36/D21*365</f>
        <v>476.298172427493</v>
      </c>
      <c r="E75" s="20" t="n">
        <f aca="false">E36/E21*365</f>
        <v>476.298172427493</v>
      </c>
      <c r="F75" s="20" t="n">
        <f aca="false">F36/F21*365</f>
        <v>476.298172427493</v>
      </c>
      <c r="G75" s="20" t="n">
        <f aca="false">G36/G21*365</f>
        <v>476.298172427493</v>
      </c>
      <c r="H75" s="20" t="n">
        <f aca="false">H36/H21*365</f>
        <v>476.298172427493</v>
      </c>
      <c r="I75" s="20" t="n">
        <f aca="false">I36/I21*365</f>
        <v>476.298172427493</v>
      </c>
      <c r="J75" s="20" t="n">
        <f aca="false">J36/J21*365</f>
        <v>476.298172427493</v>
      </c>
      <c r="K75" s="20" t="n">
        <f aca="false">K36/K21*365</f>
        <v>476.298172427493</v>
      </c>
      <c r="L75" s="20" t="n">
        <f aca="false">L36/L21*365</f>
        <v>476.298172427493</v>
      </c>
      <c r="M75" s="20" t="n">
        <f aca="false">M36/M21*365</f>
        <v>476.298172427493</v>
      </c>
      <c r="N75" s="20" t="n">
        <f aca="false">N36/N21*365</f>
        <v>476.298172427493</v>
      </c>
      <c r="O75" s="20" t="n">
        <f aca="false">O36/O21*365</f>
        <v>476.298172427493</v>
      </c>
      <c r="P75" s="20" t="n">
        <f aca="false">P36/P21*365</f>
        <v>476.298172427493</v>
      </c>
      <c r="Q75" s="20" t="n">
        <f aca="false">Q36/Q21*365</f>
        <v>476.298172427493</v>
      </c>
    </row>
    <row r="76" customFormat="false" ht="15" hidden="false" customHeight="false" outlineLevel="0" collapsed="false">
      <c r="A76" s="9" t="s">
        <v>165</v>
      </c>
      <c r="B76" s="20" t="n">
        <f aca="false">B43/B42*365</f>
        <v>9.85953538627769</v>
      </c>
      <c r="C76" s="20" t="n">
        <f aca="false">C43/C42*365</f>
        <v>9.85953538627769</v>
      </c>
      <c r="D76" s="20" t="n">
        <f aca="false">D43/D42*365</f>
        <v>9.85953538627769</v>
      </c>
      <c r="E76" s="20" t="n">
        <f aca="false">E43/E42*365</f>
        <v>9.85953538627769</v>
      </c>
      <c r="F76" s="20" t="n">
        <f aca="false">F43/F42*365</f>
        <v>9.85953538627769</v>
      </c>
      <c r="G76" s="20" t="n">
        <f aca="false">G43/G42*365</f>
        <v>9.85953538627769</v>
      </c>
      <c r="H76" s="20" t="n">
        <f aca="false">H43/H42*365</f>
        <v>9.85953538627769</v>
      </c>
      <c r="I76" s="20" t="n">
        <f aca="false">I43/I42*365</f>
        <v>9.85953538627769</v>
      </c>
      <c r="J76" s="20" t="n">
        <f aca="false">J43/J42*365</f>
        <v>9.85953538627769</v>
      </c>
      <c r="K76" s="20" t="n">
        <f aca="false">K43/K42*365</f>
        <v>9.85953538627769</v>
      </c>
      <c r="L76" s="20" t="n">
        <f aca="false">L43/L42*365</f>
        <v>9.85953538627769</v>
      </c>
      <c r="M76" s="20" t="n">
        <f aca="false">M43/M42*365</f>
        <v>9.85953538627769</v>
      </c>
      <c r="N76" s="20" t="n">
        <f aca="false">N43/N42*365</f>
        <v>9.85953538627769</v>
      </c>
      <c r="O76" s="20" t="n">
        <f aca="false">O43/O42*365</f>
        <v>9.85953538627769</v>
      </c>
      <c r="P76" s="20" t="n">
        <f aca="false">P43/P42*365</f>
        <v>9.85953538627769</v>
      </c>
      <c r="Q76" s="20" t="n">
        <f aca="false">Q43/Q42*365</f>
        <v>9.85953538627769</v>
      </c>
    </row>
    <row r="77" customFormat="false" ht="15" hidden="false" customHeight="false" outlineLevel="0" collapsed="false">
      <c r="A77" s="9" t="s">
        <v>166</v>
      </c>
      <c r="B77" s="20" t="n">
        <f aca="false">B74+B75-B76</f>
        <v>517.388293791787</v>
      </c>
      <c r="C77" s="20" t="n">
        <f aca="false">C74+C75-C76</f>
        <v>517.388293791788</v>
      </c>
      <c r="D77" s="20" t="n">
        <f aca="false">D74+D75-D76</f>
        <v>517.388293791788</v>
      </c>
      <c r="E77" s="20" t="n">
        <f aca="false">E74+E75-E76</f>
        <v>517.388293791787</v>
      </c>
      <c r="F77" s="20" t="n">
        <f aca="false">F74+F75-F76</f>
        <v>517.388293791787</v>
      </c>
      <c r="G77" s="20" t="n">
        <f aca="false">G74+G75-G76</f>
        <v>517.388293791787</v>
      </c>
      <c r="H77" s="20" t="n">
        <f aca="false">H74+H75-H76</f>
        <v>517.388293791787</v>
      </c>
      <c r="I77" s="20" t="n">
        <f aca="false">I74+I75-I76</f>
        <v>517.388293791787</v>
      </c>
      <c r="J77" s="20" t="n">
        <f aca="false">J74+J75-J76</f>
        <v>517.388293791787</v>
      </c>
      <c r="K77" s="20" t="n">
        <f aca="false">K74+K75-K76</f>
        <v>517.388293791788</v>
      </c>
      <c r="L77" s="20" t="n">
        <f aca="false">L74+L75-L76</f>
        <v>517.388293791788</v>
      </c>
      <c r="M77" s="20" t="n">
        <f aca="false">M74+M75-M76</f>
        <v>517.388293791787</v>
      </c>
      <c r="N77" s="20" t="n">
        <f aca="false">N74+N75-N76</f>
        <v>517.388293791787</v>
      </c>
      <c r="O77" s="20" t="n">
        <f aca="false">O74+O75-O76</f>
        <v>517.388293791787</v>
      </c>
      <c r="P77" s="20" t="n">
        <f aca="false">P74+P75-P76</f>
        <v>517.388293791787</v>
      </c>
      <c r="Q77" s="20" t="n">
        <f aca="false">Q74+Q75-Q76</f>
        <v>517.388293791787</v>
      </c>
    </row>
    <row r="78" customFormat="false" ht="15" hidden="false" customHeight="false" outlineLevel="0" collapsed="false">
      <c r="A78" s="9" t="s">
        <v>167</v>
      </c>
      <c r="B78" s="23" t="n">
        <f aca="false">B20/B39</f>
        <v>2.78270098169276</v>
      </c>
      <c r="C78" s="23" t="n">
        <f aca="false">C20/C39</f>
        <v>2.92183603077739</v>
      </c>
      <c r="D78" s="23" t="n">
        <f aca="false">D20/D39</f>
        <v>3.06097107986203</v>
      </c>
      <c r="E78" s="23" t="n">
        <f aca="false">E20/E39</f>
        <v>3.20010612894667</v>
      </c>
      <c r="F78" s="23" t="n">
        <f aca="false">F20/F39</f>
        <v>3.33924117803131</v>
      </c>
      <c r="G78" s="23" t="n">
        <f aca="false">G20/G39</f>
        <v>3.47837622711595</v>
      </c>
      <c r="H78" s="23" t="n">
        <f aca="false">H20/H39</f>
        <v>3.61751127620058</v>
      </c>
      <c r="I78" s="23" t="n">
        <f aca="false">I20/I39</f>
        <v>3.75664632528522</v>
      </c>
      <c r="J78" s="23" t="n">
        <f aca="false">J20/J39</f>
        <v>2.78270098169276</v>
      </c>
      <c r="K78" s="23" t="n">
        <f aca="false">K20/K39</f>
        <v>2.92183603077739</v>
      </c>
      <c r="L78" s="23" t="n">
        <f aca="false">L20/L39</f>
        <v>3.06097107986203</v>
      </c>
      <c r="M78" s="23" t="n">
        <f aca="false">M20/M39</f>
        <v>3.20010612894667</v>
      </c>
      <c r="N78" s="23" t="n">
        <f aca="false">N20/N39</f>
        <v>3.33924117803131</v>
      </c>
      <c r="O78" s="23" t="n">
        <f aca="false">O20/O39</f>
        <v>3.47837622711595</v>
      </c>
      <c r="P78" s="23" t="n">
        <f aca="false">P20/P39</f>
        <v>3.61751127620058</v>
      </c>
      <c r="Q78" s="23" t="n">
        <f aca="false">Q20/Q39</f>
        <v>3.75664632528522</v>
      </c>
    </row>
    <row r="79" customFormat="false" ht="15" hidden="false" customHeight="false" outlineLevel="0" collapsed="false">
      <c r="A79" s="9" t="s">
        <v>168</v>
      </c>
      <c r="B79" s="18" t="n">
        <f aca="false">B34/B20</f>
        <v>0.08</v>
      </c>
      <c r="C79" s="18" t="n">
        <f aca="false">C34/C20</f>
        <v>0.08</v>
      </c>
      <c r="D79" s="18" t="n">
        <f aca="false">D34/D20</f>
        <v>0.08</v>
      </c>
      <c r="E79" s="18" t="n">
        <f aca="false">E34/E20</f>
        <v>0.08</v>
      </c>
      <c r="F79" s="18" t="n">
        <f aca="false">F34/F20</f>
        <v>0.08</v>
      </c>
      <c r="G79" s="18" t="n">
        <f aca="false">G34/G20</f>
        <v>0.08</v>
      </c>
      <c r="H79" s="18" t="n">
        <f aca="false">H34/H20</f>
        <v>0.08</v>
      </c>
      <c r="I79" s="18" t="n">
        <f aca="false">I34/I20</f>
        <v>0.08</v>
      </c>
      <c r="J79" s="18" t="n">
        <f aca="false">J34/J20</f>
        <v>0.036326468344775</v>
      </c>
      <c r="K79" s="18" t="n">
        <f aca="false">K34/K20</f>
        <v>0.0089626239511823</v>
      </c>
      <c r="L79" s="18" t="n">
        <f aca="false">L34/L20</f>
        <v>0.0089626239511823</v>
      </c>
      <c r="M79" s="18" t="n">
        <f aca="false">M34/M20</f>
        <v>0.0089626239511823</v>
      </c>
      <c r="N79" s="18" t="n">
        <f aca="false">N34/N20</f>
        <v>0.0089626239511823</v>
      </c>
      <c r="O79" s="18" t="n">
        <f aca="false">O34/O20</f>
        <v>0.0089626239511823</v>
      </c>
      <c r="P79" s="18" t="n">
        <f aca="false">P34/P20</f>
        <v>0.0089626239511823</v>
      </c>
      <c r="Q79" s="18" t="n">
        <f aca="false">Q34/Q20</f>
        <v>0.0089626239511823</v>
      </c>
    </row>
    <row r="80" customFormat="false" ht="15" hidden="false" customHeight="false" outlineLevel="0" collapsed="false">
      <c r="A80" s="9" t="s">
        <v>169</v>
      </c>
      <c r="B80" s="23" t="n">
        <f aca="false">B38/(B46+B47)</f>
        <v>9.56004725879523</v>
      </c>
      <c r="C80" s="23" t="n">
        <f aca="false">C38/(C46+C47)</f>
        <v>6.92423753148168</v>
      </c>
      <c r="D80" s="23" t="n">
        <f aca="false">D38/(D46+D47)</f>
        <v>5.53652733201444</v>
      </c>
      <c r="E80" s="23" t="n">
        <f aca="false">E38/(E46+E47)</f>
        <v>4.68012851250041</v>
      </c>
      <c r="F80" s="23" t="n">
        <f aca="false">F38/(F46+F47)</f>
        <v>4.09893461979141</v>
      </c>
      <c r="G80" s="23" t="n">
        <f aca="false">G38/(G46+G47)</f>
        <v>3.67865341950185</v>
      </c>
      <c r="H80" s="23" t="n">
        <f aca="false">H38/(H46+H47)</f>
        <v>3.36058419698231</v>
      </c>
      <c r="I80" s="23" t="n">
        <f aca="false">I38/(I46+I47)</f>
        <v>3.11148266185031</v>
      </c>
      <c r="J80" s="23" t="n">
        <f aca="false">J38/(J46+J47)</f>
        <v>18.2304270613108</v>
      </c>
      <c r="K80" s="23" t="n">
        <f aca="false">K38/(K46+K47)</f>
        <v>15.5583219304094</v>
      </c>
      <c r="L80" s="23" t="n">
        <f aca="false">L38/(L46+L47)</f>
        <v>9.64246145900269</v>
      </c>
      <c r="M80" s="23" t="n">
        <f aca="false">M38/(M46+M47)</f>
        <v>7.15754957856774</v>
      </c>
      <c r="N80" s="23" t="n">
        <f aca="false">N38/(N46+N47)</f>
        <v>5.78982167384493</v>
      </c>
      <c r="O80" s="23" t="n">
        <f aca="false">O38/(O46+O47)</f>
        <v>4.92414790291516</v>
      </c>
      <c r="P80" s="23" t="n">
        <f aca="false">P38/(P46+P47)</f>
        <v>4.3269613970943</v>
      </c>
      <c r="Q80" s="23" t="n">
        <f aca="false">Q38/(Q46+Q47)</f>
        <v>3.89012510735037</v>
      </c>
    </row>
    <row r="81" customFormat="false" ht="15" hidden="false" customHeight="false" outlineLevel="0" collapsed="false">
      <c r="A81" s="9" t="s">
        <v>170</v>
      </c>
      <c r="B81" s="23" t="n">
        <f aca="false">B47/B48</f>
        <v>0.0400747118054005</v>
      </c>
      <c r="C81" s="23" t="n">
        <f aca="false">C47/C48</f>
        <v>0.0738163716822043</v>
      </c>
      <c r="D81" s="23" t="n">
        <f aca="false">D47/D48</f>
        <v>0.10740624852263</v>
      </c>
      <c r="E81" s="23" t="n">
        <f aca="false">E47/E48</f>
        <v>0.1408453641965</v>
      </c>
      <c r="F81" s="23" t="n">
        <f aca="false">F47/F48</f>
        <v>0.174134731421274</v>
      </c>
      <c r="G81" s="23" t="n">
        <f aca="false">G47/G48</f>
        <v>0.20727535386429</v>
      </c>
      <c r="H81" s="23" t="n">
        <f aca="false">H47/H48</f>
        <v>0.240268226243632</v>
      </c>
      <c r="I81" s="23" t="n">
        <f aca="false">I47/I48</f>
        <v>0.273114334427654</v>
      </c>
      <c r="J81" s="23" t="n">
        <f aca="false">J47/J48</f>
        <v>0</v>
      </c>
      <c r="K81" s="23" t="n">
        <f aca="false">K47/K48</f>
        <v>0.00551289728130255</v>
      </c>
      <c r="L81" s="23" t="n">
        <f aca="false">L47/L48</f>
        <v>0.0359253799042345</v>
      </c>
      <c r="M81" s="23" t="n">
        <f aca="false">M47/M48</f>
        <v>0.0661940040472949</v>
      </c>
      <c r="N81" s="23" t="n">
        <f aca="false">N47/N48</f>
        <v>0.096319788030715</v>
      </c>
      <c r="O81" s="23" t="n">
        <f aca="false">O47/O48</f>
        <v>0.126303740586275</v>
      </c>
      <c r="P81" s="23" t="n">
        <f aca="false">P47/P48</f>
        <v>0.156146860969894</v>
      </c>
      <c r="Q81" s="23" t="n">
        <f aca="false">Q47/Q48</f>
        <v>0.185850139072635</v>
      </c>
    </row>
    <row r="82" customFormat="false" ht="15" hidden="false" customHeight="false" outlineLevel="0" collapsed="false">
      <c r="A82" s="9" t="s">
        <v>171</v>
      </c>
      <c r="B82" s="23" t="n">
        <f aca="false">IF(B26&gt;0,B25/B26,"sin deuda")</f>
        <v>30.6147128685204</v>
      </c>
      <c r="C82" s="23" t="n">
        <f aca="false">IF(C26&gt;0,C25/C26,"sin deuda")</f>
        <v>17.8142483445758</v>
      </c>
      <c r="D82" s="23" t="n">
        <f aca="false">IF(D26&gt;0,D25/D26,"sin deuda")</f>
        <v>13.0597077645559</v>
      </c>
      <c r="E82" s="23" t="n">
        <f aca="false">IF(E26&gt;0,E25/E26,"sin deuda")</f>
        <v>10.5790601934573</v>
      </c>
      <c r="F82" s="23" t="n">
        <f aca="false">IF(F26&gt;0,F25/F26,"sin deuda")</f>
        <v>9.05584952897219</v>
      </c>
      <c r="G82" s="23" t="n">
        <f aca="false">IF(G26&gt;0,G25/G26,"sin deuda")</f>
        <v>8.02543971936556</v>
      </c>
      <c r="H82" s="23" t="n">
        <f aca="false">IF(H26&gt;0,H25/H26,"sin deuda")</f>
        <v>7.28197817616996</v>
      </c>
      <c r="I82" s="23" t="n">
        <f aca="false">IF(I26&gt;0,I25/I26,"sin deuda")</f>
        <v>6.72025095370467</v>
      </c>
      <c r="J82" s="23" t="str">
        <f aca="false">IF(J26&gt;0,J25/J26,"sin deuda")</f>
        <v>sin deuda</v>
      </c>
      <c r="K82" s="23" t="n">
        <f aca="false">IF(K26&gt;0,K25/K26,"sin deuda")</f>
        <v>237.886510631697</v>
      </c>
      <c r="L82" s="23" t="n">
        <f aca="false">IF(L26&gt;0,L25/L26,"sin deuda")</f>
        <v>38.9348272890205</v>
      </c>
      <c r="M82" s="23" t="n">
        <f aca="false">IF(M26&gt;0,M25/M26,"sin deuda")</f>
        <v>22.4437254620265</v>
      </c>
      <c r="N82" s="23" t="n">
        <f aca="false">IF(N26&gt;0,N25/N26,"sin deuda")</f>
        <v>16.3218963595518</v>
      </c>
      <c r="O82" s="23" t="n">
        <f aca="false">IF(O26&gt;0,O25/O26,"sin deuda")</f>
        <v>13.128637208523</v>
      </c>
      <c r="P82" s="23" t="n">
        <f aca="false">IF(P26&gt;0,P25/P26,"sin deuda")</f>
        <v>11.1681149634367</v>
      </c>
      <c r="Q82" s="23" t="n">
        <f aca="false">IF(Q26&gt;0,Q25/Q26,"sin deuda")</f>
        <v>9.84198756678671</v>
      </c>
    </row>
    <row r="83" customFormat="false" ht="15" hidden="false" customHeight="false" outlineLevel="0" collapsed="false">
      <c r="A83" s="9" t="s">
        <v>172</v>
      </c>
      <c r="B83" s="23" t="n">
        <f aca="false">B47/(B25+B24)</f>
        <v>0.33846336826855</v>
      </c>
      <c r="C83" s="23" t="n">
        <f aca="false">C47/(C25+C24)</f>
        <v>0.595092913961869</v>
      </c>
      <c r="D83" s="23" t="n">
        <f aca="false">D47/(D25+D24)</f>
        <v>0.828392500955794</v>
      </c>
      <c r="E83" s="23" t="n">
        <f aca="false">E47/(E25+E24)</f>
        <v>1.04140516734155</v>
      </c>
      <c r="F83" s="23" t="n">
        <f aca="false">F47/(F25+F24)</f>
        <v>1.23666677819516</v>
      </c>
      <c r="G83" s="23" t="n">
        <f aca="false">G47/(G25+G24)</f>
        <v>1.41630746018049</v>
      </c>
      <c r="H83" s="23" t="n">
        <f aca="false">H47/(H25+H24)</f>
        <v>1.58212962816693</v>
      </c>
      <c r="I83" s="23" t="n">
        <f aca="false">I47/(I25+I24)</f>
        <v>1.73566867259884</v>
      </c>
      <c r="J83" s="23" t="n">
        <f aca="false">J47/(J25+J24)</f>
        <v>0</v>
      </c>
      <c r="K83" s="23" t="n">
        <f aca="false">K47/(K25+K24)</f>
        <v>0.044563825537073</v>
      </c>
      <c r="L83" s="23" t="n">
        <f aca="false">L47/(L25+L24)</f>
        <v>0.277863412530998</v>
      </c>
      <c r="M83" s="23" t="n">
        <f aca="false">M47/(M25+M24)</f>
        <v>0.490876078916755</v>
      </c>
      <c r="N83" s="23" t="n">
        <f aca="false">N47/(N25+N24)</f>
        <v>0.686137689770364</v>
      </c>
      <c r="O83" s="23" t="n">
        <f aca="false">O47/(O25+O24)</f>
        <v>0.865778371755689</v>
      </c>
      <c r="P83" s="23" t="n">
        <f aca="false">P47/(P25+P24)</f>
        <v>1.03160053974214</v>
      </c>
      <c r="Q83" s="23" t="n">
        <f aca="false">Q47/(Q25+Q24)</f>
        <v>1.18513958417404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" t="s">
        <v>191</v>
      </c>
    </row>
    <row r="2" customFormat="false" ht="15" hidden="false" customHeight="false" outlineLevel="0" collapsed="false">
      <c r="A2" s="2" t="s">
        <v>192</v>
      </c>
    </row>
    <row r="4" customFormat="false" ht="15" hidden="false" customHeight="false" outlineLevel="0" collapsed="false">
      <c r="A4" s="9" t="s">
        <v>193</v>
      </c>
      <c r="B4" s="7" t="n">
        <f aca="false">Supuestos!B12</f>
        <v>0.02</v>
      </c>
    </row>
    <row r="5" customFormat="false" ht="15" hidden="false" customHeight="false" outlineLevel="0" collapsed="false">
      <c r="A5" s="9" t="s">
        <v>194</v>
      </c>
      <c r="B5" s="34" t="n">
        <f aca="false">Supuestos!B13</f>
        <v>10</v>
      </c>
    </row>
    <row r="6" customFormat="false" ht="15" hidden="false" customHeight="false" outlineLevel="0" collapsed="false">
      <c r="A6" s="9" t="s">
        <v>195</v>
      </c>
      <c r="B6" s="34" t="n">
        <f aca="false">Supuestos!B14</f>
        <v>30</v>
      </c>
    </row>
    <row r="7" customFormat="false" ht="15" hidden="false" customHeight="false" outlineLevel="0" collapsed="false">
      <c r="A7" s="9" t="s">
        <v>196</v>
      </c>
      <c r="B7" s="26" t="n">
        <f aca="false">B4/(1-B4)*365/(B6-B5)</f>
        <v>0.372448979591837</v>
      </c>
    </row>
    <row r="8" customFormat="false" ht="15" hidden="false" customHeight="false" outlineLevel="0" collapsed="false">
      <c r="A8" s="9" t="s">
        <v>197</v>
      </c>
      <c r="B8" s="26" t="n">
        <f aca="false">(1+B4/(1-B4))^(365/(B6-B5))-1</f>
        <v>0.445852927312486</v>
      </c>
    </row>
    <row r="9" customFormat="false" ht="15" hidden="false" customHeight="false" outlineLevel="0" collapsed="false">
      <c r="A9" s="9" t="s">
        <v>198</v>
      </c>
      <c r="B9" s="7" t="n">
        <f aca="false">Supuestos!B7</f>
        <v>0.065</v>
      </c>
    </row>
    <row r="10" customFormat="false" ht="15" hidden="false" customHeight="false" outlineLevel="0" collapsed="false">
      <c r="A10" s="9" t="s">
        <v>199</v>
      </c>
      <c r="B10" s="6" t="n">
        <f aca="false">'Proyeccion 2020'!B42</f>
        <v>240.63</v>
      </c>
    </row>
    <row r="11" customFormat="false" ht="15" hidden="false" customHeight="false" outlineLevel="0" collapsed="false">
      <c r="A11" s="9" t="s">
        <v>200</v>
      </c>
      <c r="B11" s="17" t="n">
        <f aca="false">B10*B4</f>
        <v>4.8126</v>
      </c>
    </row>
    <row r="12" customFormat="false" ht="15" hidden="false" customHeight="false" outlineLevel="0" collapsed="false">
      <c r="A12" s="9" t="s">
        <v>201</v>
      </c>
      <c r="B12" s="17" t="n">
        <f aca="false">B10*(B6-B5)/365</f>
        <v>13.1852054794521</v>
      </c>
    </row>
    <row r="13" customFormat="false" ht="15" hidden="false" customHeight="false" outlineLevel="0" collapsed="false">
      <c r="A13" s="9" t="s">
        <v>202</v>
      </c>
      <c r="B13" s="17" t="n">
        <f aca="false">B12*B9</f>
        <v>0.857038356164384</v>
      </c>
    </row>
    <row r="15" customFormat="false" ht="15" hidden="false" customHeight="false" outlineLevel="0" collapsed="false">
      <c r="A15" s="2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2026-10-16T00:02:14Z</dcterms:created>
  <dc:creator>openpyxl</dc:creator>
  <dc:description/>
  <dc:language>en-US</dc:language>
  <cp:lastModifiedBy/>
  <dcterms:modified xsi:type="dcterms:W3CDTF">2026-10-16T00:02:14Z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