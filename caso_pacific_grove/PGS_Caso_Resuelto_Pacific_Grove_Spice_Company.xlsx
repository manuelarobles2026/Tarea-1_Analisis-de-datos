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omendación" sheetId="1" state="visible" r:id="rId3"/>
    <sheet name="Supuestos" sheetId="2" state="visible" r:id="rId4"/>
    <sheet name="PGS Standalone" sheetId="3" state="visible" r:id="rId5"/>
    <sheet name="Programa TV" sheetId="4" state="visible" r:id="rId6"/>
    <sheet name="Emisión Acciones" sheetId="5" state="visible" r:id="rId7"/>
    <sheet name="Adquisición HCS" sheetId="6" state="visible" r:id="rId8"/>
    <sheet name="Comparativo Opci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4</xdr:row>
                <xdr:rowOff>0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0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Source: uploaded case workbook 4372-XLS-ENG.xls and case PDF 412S31-PDF-SPA.pdf.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<sst xmlns="http://schemas.openxmlformats.org/spreadsheetml/2006/main" count="353" uniqueCount="216">
  <si>
    <t xml:space="preserve">Recomendación ejecutiva</t>
  </si>
  <si>
    <t xml:space="preserve">Decisión basada en el caso y en el modelo financiero adjunto</t>
  </si>
  <si>
    <t xml:space="preserve">Respuesta a las cuatro preguntas</t>
  </si>
  <si>
    <t xml:space="preserve">1. ¿Operaciones suficientes?</t>
  </si>
  <si>
    <t xml:space="preserve">NO. En 2012 deuda/activos es 60.9% y multiplicador 3.3x, frente a máximos de 55.0% y 2.7x. Incluso en 2015 el multiplicador sigue por encima.</t>
  </si>
  <si>
    <t xml:space="preserve">[Seguro]</t>
  </si>
  <si>
    <t xml:space="preserve">2. ¿Programa de TV?</t>
  </si>
  <si>
    <t xml:space="preserve">SÍ. TIR ~41% y VPN positivo. Financiar con la emisión de capital, no con más deuda; reservar primero la necesidad máxima del proyecto y usar el saldo para amortizar deuda.</t>
  </si>
  <si>
    <t xml:space="preserve">3. ¿Emitir acciones externas?</t>
  </si>
  <si>
    <t xml:space="preserve">SÍ, pese al descuento de 15.6%. Es costoso, pero restaura holgura bancaria y financia el TV. Negociaría derechos, lock-up y uso explícito de fondos.</t>
  </si>
  <si>
    <t xml:space="preserve">[Probable]</t>
  </si>
  <si>
    <t xml:space="preserve">4. ¿Adquirir HCS?</t>
  </si>
  <si>
    <t xml:space="preserve">SÍ, PERO CONDICIONAL. El DCF base excede US$13.2m, pero el valor es muy sensible al WACC y al crecimiento terminal. Proceder solo con due diligence y protección contractual.</t>
  </si>
  <si>
    <t xml:space="preserve">Secuencia recomendada</t>
  </si>
  <si>
    <t xml:space="preserve">1) Cerrar la emisión de 400,000 acciones y amortizar deuda bancaria.</t>
  </si>
  <si>
    <t xml:space="preserve">2) Aprobar el programa de TV y separar su fondeo total; no usar deuda incremental.</t>
  </si>
  <si>
    <t xml:space="preserve">3) Cerrar HCS con acciones, condicionado a due diligence y métricas de desempeño.</t>
  </si>
  <si>
    <t xml:space="preserve">4) Monitorear covenants trimestralmente y limitar crecimiento si el capital de trabajo vuelve a absorber caja.</t>
  </si>
  <si>
    <t xml:space="preserve">Punto de desacuerdo clave</t>
  </si>
  <si>
    <t xml:space="preserve">No estoy de acuerdo con asumir que la rentabilidad por sí sola resolverá el apalancamiento. El crecimiento consume activos y capital de trabajo más rápido que la retención de utilidades. Esto es lo que haría en tu lugar: recapitalizar primero, luego invertir. El riesgo del enfoque contrario es incumplir los covenants, perder acceso al crédito y verse obligado a financiarse en condiciones peores.</t>
  </si>
  <si>
    <t xml:space="preserve">Controles del modelo</t>
  </si>
  <si>
    <t xml:space="preserve">Cifras en azul</t>
  </si>
  <si>
    <t xml:space="preserve">inputs editables</t>
  </si>
  <si>
    <t xml:space="preserve">Cifras verdes</t>
  </si>
  <si>
    <t xml:space="preserve">vínculos entre hojas</t>
  </si>
  <si>
    <t xml:space="preserve">Cifras negras</t>
  </si>
  <si>
    <t xml:space="preserve">fórmulas</t>
  </si>
  <si>
    <t xml:space="preserve">Pacific Grove Spice Company - Supuestos</t>
  </si>
  <si>
    <t xml:space="preserve">USD millones, salvo acciones y precio por acción</t>
  </si>
  <si>
    <t xml:space="preserve">Supuestos generales</t>
  </si>
  <si>
    <t xml:space="preserve">Tasa de impuestos</t>
  </si>
  <si>
    <t xml:space="preserve">Tasa libre de riesgo</t>
  </si>
  <si>
    <t xml:space="preserve">Prima de riesgo de mercado</t>
  </si>
  <si>
    <t xml:space="preserve">Crecimiento terminal HCS</t>
  </si>
  <si>
    <t xml:space="preserve">Precio actual por acción</t>
  </si>
  <si>
    <t xml:space="preserve">Acciones actuales</t>
  </si>
  <si>
    <t xml:space="preserve">Acciones nuevas externas</t>
  </si>
  <si>
    <t xml:space="preserve">Producido neto por acción</t>
  </si>
  <si>
    <t xml:space="preserve">Acciones para adquirir HCS</t>
  </si>
  <si>
    <t xml:space="preserve">Precio de adquisición HCS</t>
  </si>
  <si>
    <t xml:space="preserve">Pagarés bancarios HCS (30/06/11)</t>
  </si>
  <si>
    <t xml:space="preserve">Prima de riesgo adicional programa TV</t>
  </si>
  <si>
    <t xml:space="preserve">Requisitos del banco</t>
  </si>
  <si>
    <t xml:space="preserve">Deuda con intereses / activos máxima</t>
  </si>
  <si>
    <t xml:space="preserve">Multiplicador de patrimonio máximo</t>
  </si>
  <si>
    <t xml:space="preserve">Betas y estructura de capital comparables</t>
  </si>
  <si>
    <t xml:space="preserve">Compañía</t>
  </si>
  <si>
    <t xml:space="preserve">Beta equity</t>
  </si>
  <si>
    <t xml:space="preserve">Deuda</t>
  </si>
  <si>
    <t xml:space="preserve">Equity mercado</t>
  </si>
  <si>
    <t xml:space="preserve">D/E</t>
  </si>
  <si>
    <t xml:space="preserve">Beta desapalancada</t>
  </si>
  <si>
    <t xml:space="preserve">McCormick</t>
  </si>
  <si>
    <t xml:space="preserve">ConAgra</t>
  </si>
  <si>
    <t xml:space="preserve">Pacific Grove</t>
  </si>
  <si>
    <t xml:space="preserve">Beta de activos promedio</t>
  </si>
  <si>
    <t xml:space="preserve">Costo de capital de activos HCS</t>
  </si>
  <si>
    <t xml:space="preserve">Supuestos operativos HCS (del caso)</t>
  </si>
  <si>
    <t xml:space="preserve">2013 en adelante</t>
  </si>
  <si>
    <t xml:space="preserve">COGS / ventas</t>
  </si>
  <si>
    <t xml:space="preserve">I+D / ventas</t>
  </si>
  <si>
    <t xml:space="preserve">Gastos generales y adm. / ventas</t>
  </si>
  <si>
    <t xml:space="preserve">Efectivo (días de gastos operativos)</t>
  </si>
  <si>
    <t xml:space="preserve">Cuentas por cobrar (días de ventas)</t>
  </si>
  <si>
    <t xml:space="preserve">Rotación de inventario (veces COGS)</t>
  </si>
  <si>
    <t xml:space="preserve">Gastos pre-pagados / ventas</t>
  </si>
  <si>
    <t xml:space="preserve">Rotación propiedades y equipo (veces ventas)</t>
  </si>
  <si>
    <t xml:space="preserve">Otros activos de largo plazo / ventas</t>
  </si>
  <si>
    <t xml:space="preserve">Cuentas por pagar (días de COGS)</t>
  </si>
  <si>
    <t xml:space="preserve">Gastos devengados / ventas</t>
  </si>
  <si>
    <t xml:space="preserve">PGS - Proyección Standalone</t>
  </si>
  <si>
    <t xml:space="preserve">USD millones</t>
  </si>
  <si>
    <t xml:space="preserve">Estado de resultados y balance resumido</t>
  </si>
  <si>
    <t xml:space="preserve">Ventas</t>
  </si>
  <si>
    <t xml:space="preserve">EBIT</t>
  </si>
  <si>
    <t xml:space="preserve">Intereses</t>
  </si>
  <si>
    <t xml:space="preserve">Utilidad neta</t>
  </si>
  <si>
    <t xml:space="preserve">Activos</t>
  </si>
  <si>
    <t xml:space="preserve">Pagarés bancarios</t>
  </si>
  <si>
    <t xml:space="preserve">Porción corriente deuda LP</t>
  </si>
  <si>
    <t xml:space="preserve">Deuda largo plazo</t>
  </si>
  <si>
    <t xml:space="preserve">Patrimonio</t>
  </si>
  <si>
    <t xml:space="preserve">Cumplimiento de covenants</t>
  </si>
  <si>
    <t xml:space="preserve">Deuda con intereses</t>
  </si>
  <si>
    <t xml:space="preserve">Deuda / activos</t>
  </si>
  <si>
    <t xml:space="preserve">Límite banco</t>
  </si>
  <si>
    <t xml:space="preserve">Holgura / (incumplimiento)</t>
  </si>
  <si>
    <t xml:space="preserve">Multiplicador patrimonio</t>
  </si>
  <si>
    <t xml:space="preserve">Cobertura de intereses</t>
  </si>
  <si>
    <t xml:space="preserve">Conclusión</t>
  </si>
  <si>
    <t xml:space="preserve">Programa de televisión - Presupuesto de capital</t>
  </si>
  <si>
    <t xml:space="preserve">Supuestos</t>
  </si>
  <si>
    <t xml:space="preserve">Inversión equipo</t>
  </si>
  <si>
    <t xml:space="preserve">Ventas año 1</t>
  </si>
  <si>
    <t xml:space="preserve">Crecimiento ventas</t>
  </si>
  <si>
    <t xml:space="preserve">Promoción / ventas</t>
  </si>
  <si>
    <t xml:space="preserve">G&amp;A año 1</t>
  </si>
  <si>
    <t xml:space="preserve">Vida / depreciación</t>
  </si>
  <si>
    <t xml:space="preserve">DSO</t>
  </si>
  <si>
    <t xml:space="preserve">Rotación inventario</t>
  </si>
  <si>
    <t xml:space="preserve">Días cuentas por pagar</t>
  </si>
  <si>
    <t xml:space="preserve">Tasa de descuento base (costo de activos + prima TV)</t>
  </si>
  <si>
    <t xml:space="preserve">Flujos del proyecto</t>
  </si>
  <si>
    <t xml:space="preserve">Concepto</t>
  </si>
  <si>
    <t xml:space="preserve">COGS</t>
  </si>
  <si>
    <t xml:space="preserve">Margen bruto</t>
  </si>
  <si>
    <t xml:space="preserve">Promoción</t>
  </si>
  <si>
    <t xml:space="preserve">G&amp;A</t>
  </si>
  <si>
    <t xml:space="preserve">Depreciación</t>
  </si>
  <si>
    <t xml:space="preserve">EBIT incremental</t>
  </si>
  <si>
    <t xml:space="preserve">Impuestos</t>
  </si>
  <si>
    <t xml:space="preserve">NOPAT</t>
  </si>
  <si>
    <t xml:space="preserve">Flujo operativo</t>
  </si>
  <si>
    <t xml:space="preserve">A/R requerido</t>
  </si>
  <si>
    <t xml:space="preserve">Inventario requerido</t>
  </si>
  <si>
    <t xml:space="preserve">A/P requerido</t>
  </si>
  <si>
    <t xml:space="preserve">Capital de trabajo neto</t>
  </si>
  <si>
    <t xml:space="preserve">Cambio en capital de trabajo</t>
  </si>
  <si>
    <t xml:space="preserve">Recuperación capital trabajo</t>
  </si>
  <si>
    <t xml:space="preserve">Flujo total proyecto</t>
  </si>
  <si>
    <t xml:space="preserve">TIR</t>
  </si>
  <si>
    <t xml:space="preserve">VPN a tasa base</t>
  </si>
  <si>
    <t xml:space="preserve">Necesidad máxima acumulada</t>
  </si>
  <si>
    <t xml:space="preserve">Tasa conservadora</t>
  </si>
  <si>
    <t xml:space="preserve">VPN a tasa conservadora</t>
  </si>
  <si>
    <t xml:space="preserve">Sensibilidad: ventas menores, promoción y G&amp;A en montos proyectados</t>
  </si>
  <si>
    <t xml:space="preserve">Ventas como % de la proyección</t>
  </si>
  <si>
    <t xml:space="preserve">Promoción (monto proyectado)</t>
  </si>
  <si>
    <t xml:space="preserve">Sensibilidad: capital de trabajo invertido al inicio de cada año</t>
  </si>
  <si>
    <t xml:space="preserve">Emisión externa de acciones</t>
  </si>
  <si>
    <t xml:space="preserve">USD millones salvo datos por acción</t>
  </si>
  <si>
    <t xml:space="preserve">Economía de la transacción</t>
  </si>
  <si>
    <t xml:space="preserve">Producido neto</t>
  </si>
  <si>
    <t xml:space="preserve">Descuento vs. mercado</t>
  </si>
  <si>
    <t xml:space="preserve">Acciones post emisión</t>
  </si>
  <si>
    <t xml:space="preserve">Participación de nuevos accionistas</t>
  </si>
  <si>
    <t xml:space="preserve">Patrimonio 2012 pro forma</t>
  </si>
  <si>
    <t xml:space="preserve">Deuda 2012 pro forma</t>
  </si>
  <si>
    <t xml:space="preserve">Deuda / activos 2012</t>
  </si>
  <si>
    <t xml:space="preserve">Multiplicador patrimonio 2012</t>
  </si>
  <si>
    <t xml:space="preserve">Exceso después de financiar TV</t>
  </si>
  <si>
    <t xml:space="preserve">High Country Seasonings - DCF</t>
  </si>
  <si>
    <t xml:space="preserve">Proyección operativa</t>
  </si>
  <si>
    <t xml:space="preserve">COGS %</t>
  </si>
  <si>
    <t xml:space="preserve">R&amp;D %</t>
  </si>
  <si>
    <t xml:space="preserve">SG&amp;A %</t>
  </si>
  <si>
    <t xml:space="preserve">Activos operativos</t>
  </si>
  <si>
    <t xml:space="preserve">Pasivos operativos</t>
  </si>
  <si>
    <t xml:space="preserve">Capital operativo neto</t>
  </si>
  <si>
    <t xml:space="preserve">Cambio capital operativo</t>
  </si>
  <si>
    <t xml:space="preserve">Flujo libre de caja</t>
  </si>
  <si>
    <t xml:space="preserve">Costo de capital y valoración</t>
  </si>
  <si>
    <t xml:space="preserve">WACC / costo de activos</t>
  </si>
  <si>
    <t xml:space="preserve">Valor terminal</t>
  </si>
  <si>
    <t xml:space="preserve">Valor presente empresa</t>
  </si>
  <si>
    <t xml:space="preserve">(-) Pagarés bancarios HCS</t>
  </si>
  <si>
    <t xml:space="preserve">Valor del patrimonio</t>
  </si>
  <si>
    <t xml:space="preserve">Precio solicitado</t>
  </si>
  <si>
    <t xml:space="preserve">VPN adquisición</t>
  </si>
  <si>
    <t xml:space="preserve">WACC de estrés</t>
  </si>
  <si>
    <t xml:space="preserve">Valor del patrimonio a WACC de estrés</t>
  </si>
  <si>
    <t xml:space="preserve">Comparativo de opciones - Covenants, BPA y valor</t>
  </si>
  <si>
    <t xml:space="preserve">USD millones salvo acciones (millones) y BPA. Combina TV, emisión y adquisición de HCS; los pagarés bancarios cuadran el balance (como indica el caso).</t>
  </si>
  <si>
    <t xml:space="preserve">Supuestos del comparativo</t>
  </si>
  <si>
    <t xml:space="preserve">Tasa pagarés bancarios (preferencial 3.25% + 5%)</t>
  </si>
  <si>
    <t xml:space="preserve">Patrimonio en libros HCS (30/06/11)</t>
  </si>
  <si>
    <t xml:space="preserve">Fondo de comercio HCS</t>
  </si>
  <si>
    <t xml:space="preserve">Intereses adicionales al consolidar HCS</t>
  </si>
  <si>
    <t xml:space="preserve">Acciones actuales (millones)</t>
  </si>
  <si>
    <t xml:space="preserve">Acciones nuevas por emisión (millones)</t>
  </si>
  <si>
    <t xml:space="preserve">Acciones entregadas a HCS (millones)</t>
  </si>
  <si>
    <t xml:space="preserve">Producido neto de la emisión</t>
  </si>
  <si>
    <t xml:space="preserve">Transferencia a nuevos accionistas por descuento</t>
  </si>
  <si>
    <t xml:space="preserve">Bloques de construcción por año</t>
  </si>
  <si>
    <t xml:space="preserve">PGS standalone</t>
  </si>
  <si>
    <t xml:space="preserve">Pasivos sin intereses</t>
  </si>
  <si>
    <t xml:space="preserve">Patrimonio inicial</t>
  </si>
  <si>
    <t xml:space="preserve">Programa de TV (año 1 = FY2012)</t>
  </si>
  <si>
    <t xml:space="preserve">Equipo neto</t>
  </si>
  <si>
    <t xml:space="preserve">Cuentas por cobrar + inventario</t>
  </si>
  <si>
    <t xml:space="preserve">Cuentas por pagar</t>
  </si>
  <si>
    <t xml:space="preserve">Deuda que financia el TV (inicio del año)</t>
  </si>
  <si>
    <t xml:space="preserve">Intereses por financiar el TV</t>
  </si>
  <si>
    <t xml:space="preserve">High Country Seasonings (consolidada)</t>
  </si>
  <si>
    <t xml:space="preserve">Intereses adicionales</t>
  </si>
  <si>
    <t xml:space="preserve">Emisión de acciones</t>
  </si>
  <si>
    <t xml:space="preserve">Intereses ahorrados al amortizar pagarés</t>
  </si>
  <si>
    <t xml:space="preserve">Resumen de escenarios (1 = se hace, 0 = no)</t>
  </si>
  <si>
    <t xml:space="preserve">Escenario</t>
  </si>
  <si>
    <t xml:space="preserve">TV</t>
  </si>
  <si>
    <t xml:space="preserve">Emisión</t>
  </si>
  <si>
    <t xml:space="preserve">HCS</t>
  </si>
  <si>
    <t xml:space="preserve">Deuda/activos 2012</t>
  </si>
  <si>
    <t xml:space="preserve">Multiplicador 2012</t>
  </si>
  <si>
    <t xml:space="preserve">¿Cumple 2012?</t>
  </si>
  <si>
    <t xml:space="preserve">Deuda/activos 2015</t>
  </si>
  <si>
    <t xml:space="preserve">Multiplicador 2015</t>
  </si>
  <si>
    <t xml:space="preserve">BPA 2012</t>
  </si>
  <si>
    <t xml:space="preserve">BPA 2015</t>
  </si>
  <si>
    <t xml:space="preserve">VPN accionistas actuales</t>
  </si>
  <si>
    <t xml:space="preserve">VPN por acción actual</t>
  </si>
  <si>
    <t xml:space="preserve">1. Sin hacer nada</t>
  </si>
  <si>
    <t xml:space="preserve">2. Solo TV</t>
  </si>
  <si>
    <t xml:space="preserve">3. Solo emisión</t>
  </si>
  <si>
    <t xml:space="preserve">4. Solo HCS</t>
  </si>
  <si>
    <t xml:space="preserve">5. TV + emisión</t>
  </si>
  <si>
    <t xml:space="preserve">6. TV + HCS</t>
  </si>
  <si>
    <t xml:space="preserve">7. Emisión + HCS</t>
  </si>
  <si>
    <t xml:space="preserve">8. TV + emisión + HCS</t>
  </si>
  <si>
    <t xml:space="preserve">VPN accionistas actuales = VPN del TV a tasa base (hoja Programa TV) + VPN de HCS sobre el patrimonio (hoja Adquisición HCS) - valor transferido a nuevos accionistas por vender a US$27.50 vs US$32.60.</t>
  </si>
  <si>
    <t xml:space="preserve">Supuestos: el producido de la emisión amortiza pagarés; la deuda del TV paga la tasa de pagarés; HCS no reparte dividendos; no hay sinergias distintas a las del caso.</t>
  </si>
  <si>
    <t xml:space="preserve">Detalle por escenario</t>
  </si>
  <si>
    <t xml:space="preserve">Deuda con intereses (pagarés cuadran)</t>
  </si>
  <si>
    <t xml:space="preserve">Acciones (millones)</t>
  </si>
  <si>
    <t xml:space="preserve">BPA</t>
  </si>
  <si>
    <t xml:space="preserve">¿Cumple covenants?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</si>
</sst>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;[RED]\(0.0%\);\-"/>
    <numFmt numFmtId="166" formatCode="\$0.00"/>
    <numFmt numFmtId="167" formatCode="#,##0"/>
    <numFmt numFmtId="168" formatCode="\$#,##0.000;[RED]&quot;($&quot;#,##0.000\);\-"/>
    <numFmt numFmtId="169" formatCode="0.0\x"/>
    <numFmt numFmtId="170" formatCode="0"/>
    <numFmt numFmtId="171" formatCode="0.00%"/>
    <numFmt numFmtId="172" formatCode="#,##0.000"/>
    <numFmt numFmtId="173" formatCode="0.00\x"/>
    <numFmt numFmtId="174" formatCode="General"/>
    <numFmt numFmtId="175" formatCode="\$#,##0.00;[RED]&quot;($&quot;#,##0.00\)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2"/>
      <charset val="1"/>
    </font>
    <font>
      <i val="true"/>
      <sz val="9"/>
      <color rgb="FF666666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7030A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2"/>
      <charset val="1"/>
    </font>
    <font>
      <b val="true"/>
      <sz val="15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4CCCC"/>
        <bgColor rgb="FFD9EAD3"/>
      </patternFill>
    </fill>
    <fill>
      <patternFill patternType="solid">
        <fgColor rgb="FFDDEBF7"/>
        <bgColor rgb="FFD9EAD3"/>
      </patternFill>
    </fill>
    <fill>
      <patternFill patternType="solid">
        <fgColor rgb="FFF4B183"/>
        <bgColor rgb="FFF4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A6A6A6"/>
      </top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B183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F19" activeCellId="0" sqref="F19"/>
    </sheetView>
  </sheetViews>
  <sheetFormatPr defaultColWidth="8.7304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68"/>
    <col collapsed="false" customWidth="true" hidden="false" outlineLevel="0" max="4" min="3" style="1" width="1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2</v>
      </c>
      <c r="B4" s="5"/>
      <c r="C4" s="5"/>
      <c r="D4" s="5"/>
      <c r="E4" s="4"/>
      <c r="F4" s="4"/>
      <c r="G4" s="4"/>
      <c r="H4" s="4"/>
    </row>
    <row r="5" customFormat="false" ht="46.5" hidden="false" customHeight="true" outlineLevel="0" collapsed="false">
      <c r="A5" s="6" t="s">
        <v>3</v>
      </c>
      <c r="B5" s="7" t="s">
        <v>4</v>
      </c>
      <c r="C5" s="8" t="s">
        <v>5</v>
      </c>
      <c r="D5" s="4"/>
      <c r="E5" s="4"/>
      <c r="F5" s="4"/>
      <c r="G5" s="4"/>
      <c r="H5" s="4"/>
    </row>
    <row r="6" customFormat="false" ht="46.5" hidden="false" customHeight="true" outlineLevel="0" collapsed="false">
      <c r="A6" s="6" t="s">
        <v>6</v>
      </c>
      <c r="B6" s="7" t="s">
        <v>7</v>
      </c>
      <c r="C6" s="8" t="s">
        <v>5</v>
      </c>
      <c r="D6" s="4"/>
      <c r="E6" s="4"/>
      <c r="F6" s="4"/>
      <c r="G6" s="4"/>
      <c r="H6" s="4"/>
    </row>
    <row r="7" customFormat="false" ht="46.5" hidden="false" customHeight="true" outlineLevel="0" collapsed="false">
      <c r="A7" s="6" t="s">
        <v>8</v>
      </c>
      <c r="B7" s="7" t="s">
        <v>9</v>
      </c>
      <c r="C7" s="8" t="s">
        <v>10</v>
      </c>
      <c r="D7" s="4"/>
      <c r="E7" s="4"/>
      <c r="F7" s="4"/>
      <c r="G7" s="4"/>
      <c r="H7" s="4"/>
    </row>
    <row r="8" customFormat="false" ht="46.5" hidden="false" customHeight="true" outlineLevel="0" collapsed="false">
      <c r="A8" s="6" t="s">
        <v>11</v>
      </c>
      <c r="B8" s="7" t="s">
        <v>12</v>
      </c>
      <c r="C8" s="8" t="s">
        <v>10</v>
      </c>
      <c r="D8" s="4"/>
      <c r="E8" s="4"/>
      <c r="F8" s="4"/>
      <c r="G8" s="4"/>
      <c r="H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5" t="s">
        <v>13</v>
      </c>
      <c r="B11" s="5"/>
      <c r="C11" s="5"/>
      <c r="D11" s="5"/>
      <c r="E11" s="4"/>
      <c r="F11" s="4"/>
      <c r="G11" s="4"/>
      <c r="H11" s="4"/>
    </row>
    <row r="12" customFormat="false" ht="15" hidden="false" customHeight="true" outlineLevel="0" collapsed="false">
      <c r="A12" s="4" t="n">
        <v>1</v>
      </c>
      <c r="B12" s="4" t="s">
        <v>14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4" t="n">
        <v>2</v>
      </c>
      <c r="B13" s="4" t="s">
        <v>15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4" t="n">
        <v>3</v>
      </c>
      <c r="B14" s="4" t="s">
        <v>16</v>
      </c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4" t="n">
        <v>4</v>
      </c>
      <c r="B15" s="4" t="s">
        <v>17</v>
      </c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A18" s="5" t="s">
        <v>18</v>
      </c>
      <c r="B18" s="5"/>
      <c r="C18" s="5"/>
      <c r="D18" s="5"/>
      <c r="E18" s="4"/>
      <c r="F18" s="4"/>
      <c r="G18" s="4"/>
      <c r="H18" s="4"/>
    </row>
    <row r="19" customFormat="false" ht="15" hidden="false" customHeight="true" outlineLevel="0" collapsed="false">
      <c r="A19" s="9" t="s">
        <v>19</v>
      </c>
      <c r="B19" s="9"/>
      <c r="C19" s="9"/>
      <c r="D19" s="9"/>
      <c r="E19" s="4"/>
      <c r="F19" s="4"/>
      <c r="G19" s="4"/>
      <c r="H19" s="4"/>
    </row>
    <row r="20" customFormat="false" ht="15" hidden="false" customHeight="true" outlineLevel="0" collapsed="false">
      <c r="A20" s="9"/>
      <c r="B20" s="9"/>
      <c r="C20" s="9"/>
      <c r="D20" s="9"/>
      <c r="E20" s="4"/>
      <c r="F20" s="4"/>
      <c r="G20" s="4"/>
      <c r="H20" s="4"/>
    </row>
    <row r="21" customFormat="false" ht="15" hidden="false" customHeight="true" outlineLevel="0" collapsed="false">
      <c r="A21" s="9"/>
      <c r="B21" s="9"/>
      <c r="C21" s="9"/>
      <c r="D21" s="9"/>
      <c r="E21" s="4"/>
      <c r="F21" s="4"/>
      <c r="G21" s="4"/>
      <c r="H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A23" s="5" t="s">
        <v>20</v>
      </c>
      <c r="B23" s="5"/>
      <c r="C23" s="5"/>
      <c r="D23" s="5"/>
      <c r="E23" s="4"/>
      <c r="F23" s="4"/>
      <c r="G23" s="4"/>
      <c r="H23" s="4"/>
    </row>
    <row r="24" customFormat="false" ht="15" hidden="false" customHeight="true" outlineLevel="0" collapsed="false">
      <c r="A24" s="4" t="s">
        <v>21</v>
      </c>
      <c r="B24" s="4" t="s">
        <v>22</v>
      </c>
      <c r="C24" s="4"/>
      <c r="D24" s="4"/>
      <c r="E24" s="4"/>
      <c r="F24" s="4"/>
      <c r="G24" s="4"/>
      <c r="H24" s="4"/>
    </row>
    <row r="25" customFormat="false" ht="15" hidden="false" customHeight="true" outlineLevel="0" collapsed="false">
      <c r="A25" s="4" t="s">
        <v>23</v>
      </c>
      <c r="B25" s="4" t="s">
        <v>24</v>
      </c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A26" s="4" t="s">
        <v>25</v>
      </c>
      <c r="B26" s="4" t="s">
        <v>26</v>
      </c>
      <c r="C26" s="4"/>
      <c r="D26" s="4"/>
      <c r="E26" s="4"/>
      <c r="F26" s="4"/>
      <c r="G26" s="4"/>
      <c r="H26" s="4"/>
    </row>
  </sheetData>
  <mergeCells count="7">
    <mergeCell ref="A1:H1"/>
    <mergeCell ref="A2:H2"/>
    <mergeCell ref="A4:D4"/>
    <mergeCell ref="A11:D11"/>
    <mergeCell ref="A18:D18"/>
    <mergeCell ref="A19:D21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7304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7" min="4" style="1" width="18"/>
    <col collapsed="false" customWidth="true" hidden="false" outlineLevel="0" max="8" min="8" style="1" width="22"/>
  </cols>
  <sheetData>
    <row r="1" customFormat="false" ht="18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29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4" t="s">
        <v>30</v>
      </c>
      <c r="B5" s="10" t="n">
        <v>0.27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4" t="s">
        <v>31</v>
      </c>
      <c r="B6" s="10" t="n">
        <v>0.0425</v>
      </c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32</v>
      </c>
      <c r="B7" s="10" t="n">
        <v>0.07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4" t="s">
        <v>33</v>
      </c>
      <c r="B8" s="10" t="n">
        <v>0.048</v>
      </c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4" t="s">
        <v>34</v>
      </c>
      <c r="B9" s="11" t="n">
        <v>32.6</v>
      </c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4" t="s">
        <v>35</v>
      </c>
      <c r="B10" s="12" t="n">
        <v>1165327</v>
      </c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4" t="s">
        <v>36</v>
      </c>
      <c r="B11" s="12" t="n">
        <v>400000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A12" s="4" t="s">
        <v>37</v>
      </c>
      <c r="B12" s="11" t="n">
        <v>27.5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4" t="s">
        <v>38</v>
      </c>
      <c r="B13" s="12" t="n">
        <v>404908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4" t="s">
        <v>39</v>
      </c>
      <c r="B14" s="13" t="n">
        <v>13.2</v>
      </c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14" t="s">
        <v>40</v>
      </c>
      <c r="B15" s="15" t="n">
        <v>0.902</v>
      </c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14" t="s">
        <v>41</v>
      </c>
      <c r="B16" s="16" t="n">
        <v>0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5" t="s">
        <v>42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4" t="s">
        <v>43</v>
      </c>
      <c r="B18" s="10" t="n">
        <v>0.55</v>
      </c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4" t="s">
        <v>44</v>
      </c>
      <c r="B19" s="17" t="n">
        <v>2.7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true" outlineLevel="0" collapsed="false">
      <c r="A22" s="5" t="s">
        <v>45</v>
      </c>
      <c r="B22" s="5"/>
      <c r="C22" s="5"/>
      <c r="D22" s="5"/>
      <c r="E22" s="5"/>
      <c r="F22" s="5"/>
      <c r="G22" s="5"/>
      <c r="H22" s="5"/>
    </row>
    <row r="23" customFormat="false" ht="15" hidden="false" customHeight="true" outlineLevel="0" collapsed="false">
      <c r="A23" s="6" t="s">
        <v>46</v>
      </c>
      <c r="B23" s="6" t="s">
        <v>47</v>
      </c>
      <c r="C23" s="6" t="s">
        <v>48</v>
      </c>
      <c r="D23" s="6" t="s">
        <v>49</v>
      </c>
      <c r="E23" s="6" t="s">
        <v>50</v>
      </c>
      <c r="F23" s="6" t="s">
        <v>51</v>
      </c>
      <c r="G23" s="4"/>
      <c r="H23" s="4"/>
    </row>
    <row r="24" customFormat="false" ht="15" hidden="false" customHeight="true" outlineLevel="0" collapsed="false">
      <c r="A24" s="4" t="s">
        <v>52</v>
      </c>
      <c r="B24" s="17" t="n">
        <v>0.5</v>
      </c>
      <c r="C24" s="18" t="n">
        <v>989.7</v>
      </c>
      <c r="D24" s="18" t="n">
        <v>6567</v>
      </c>
      <c r="E24" s="19" t="n">
        <f aca="false">C24/D24</f>
        <v>0.150708085883965</v>
      </c>
      <c r="F24" s="19" t="n">
        <f aca="false">B24/(1+(1-$B$5)*E24)</f>
        <v>0.450443591251558</v>
      </c>
      <c r="G24" s="4"/>
      <c r="H24" s="4"/>
    </row>
    <row r="25" customFormat="false" ht="15" hidden="false" customHeight="true" outlineLevel="0" collapsed="false">
      <c r="A25" s="4" t="s">
        <v>53</v>
      </c>
      <c r="B25" s="17" t="n">
        <v>0.6</v>
      </c>
      <c r="C25" s="18" t="n">
        <v>3233.8</v>
      </c>
      <c r="D25" s="18" t="n">
        <v>11069.1</v>
      </c>
      <c r="E25" s="19" t="n">
        <f aca="false">C25/D25</f>
        <v>0.29214660631849</v>
      </c>
      <c r="F25" s="19" t="n">
        <f aca="false">B25/(1+(1-$B$5)*E25)</f>
        <v>0.494532521545039</v>
      </c>
      <c r="G25" s="4"/>
      <c r="H25" s="4"/>
    </row>
    <row r="26" customFormat="false" ht="15" hidden="false" customHeight="true" outlineLevel="0" collapsed="false">
      <c r="A26" s="4" t="s">
        <v>54</v>
      </c>
      <c r="B26" s="17" t="n">
        <v>0.85</v>
      </c>
      <c r="C26" s="18" t="n">
        <v>37.172</v>
      </c>
      <c r="D26" s="18" t="n">
        <v>37.99</v>
      </c>
      <c r="E26" s="19" t="n">
        <f aca="false">C26/D26</f>
        <v>0.978468017899447</v>
      </c>
      <c r="F26" s="19" t="n">
        <f aca="false">B26/(1+(1-$B$5)*E26)</f>
        <v>0.49583450798734</v>
      </c>
      <c r="G26" s="4"/>
      <c r="H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5" hidden="false" customHeight="true" outlineLevel="0" collapsed="false">
      <c r="A28" s="20" t="s">
        <v>55</v>
      </c>
      <c r="B28" s="21" t="n">
        <f aca="false">AVERAGE(F24:F26)</f>
        <v>0.480270206927979</v>
      </c>
      <c r="C28" s="22"/>
      <c r="D28" s="22"/>
      <c r="E28" s="22"/>
      <c r="F28" s="22"/>
      <c r="G28" s="4"/>
      <c r="H28" s="4"/>
    </row>
    <row r="29" customFormat="false" ht="15" hidden="false" customHeight="true" outlineLevel="0" collapsed="false">
      <c r="A29" s="4" t="s">
        <v>56</v>
      </c>
      <c r="B29" s="23" t="n">
        <f aca="false">$B$6+B28*$B$7</f>
        <v>0.0761189144849585</v>
      </c>
      <c r="C29" s="4"/>
      <c r="D29" s="4"/>
      <c r="E29" s="4"/>
      <c r="F29" s="4"/>
      <c r="G29" s="4"/>
      <c r="H29" s="4"/>
    </row>
    <row r="31" customFormat="false" ht="15" hidden="false" customHeight="false" outlineLevel="0" collapsed="false">
      <c r="A31" s="24" t="s">
        <v>57</v>
      </c>
    </row>
    <row r="32" customFormat="false" ht="15" hidden="false" customHeight="false" outlineLevel="0" collapsed="false">
      <c r="B32" s="25" t="n">
        <v>2012</v>
      </c>
      <c r="C32" s="25" t="s">
        <v>58</v>
      </c>
    </row>
    <row r="33" customFormat="false" ht="15" hidden="false" customHeight="false" outlineLevel="0" collapsed="false">
      <c r="A33" s="26" t="s">
        <v>59</v>
      </c>
      <c r="B33" s="27" t="n">
        <v>0.615</v>
      </c>
      <c r="C33" s="27" t="n">
        <v>0.585</v>
      </c>
    </row>
    <row r="34" customFormat="false" ht="15" hidden="false" customHeight="false" outlineLevel="0" collapsed="false">
      <c r="A34" s="26" t="s">
        <v>60</v>
      </c>
      <c r="B34" s="27" t="n">
        <v>0.01</v>
      </c>
      <c r="C34" s="27" t="n">
        <v>0.016</v>
      </c>
    </row>
    <row r="35" customFormat="false" ht="15" hidden="false" customHeight="false" outlineLevel="0" collapsed="false">
      <c r="A35" s="26" t="s">
        <v>61</v>
      </c>
      <c r="B35" s="27" t="n">
        <v>0.301</v>
      </c>
      <c r="C35" s="27" t="n">
        <v>0.315</v>
      </c>
    </row>
    <row r="36" customFormat="false" ht="15" hidden="false" customHeight="false" outlineLevel="0" collapsed="false">
      <c r="A36" s="26" t="s">
        <v>62</v>
      </c>
      <c r="B36" s="28" t="n">
        <v>20</v>
      </c>
    </row>
    <row r="37" customFormat="false" ht="15" hidden="false" customHeight="false" outlineLevel="0" collapsed="false">
      <c r="A37" s="26" t="s">
        <v>63</v>
      </c>
      <c r="B37" s="28" t="n">
        <v>75</v>
      </c>
    </row>
    <row r="38" customFormat="false" ht="15" hidden="false" customHeight="false" outlineLevel="0" collapsed="false">
      <c r="A38" s="26" t="s">
        <v>64</v>
      </c>
      <c r="B38" s="29" t="n">
        <v>4</v>
      </c>
    </row>
    <row r="39" customFormat="false" ht="15" hidden="false" customHeight="false" outlineLevel="0" collapsed="false">
      <c r="A39" s="26" t="s">
        <v>65</v>
      </c>
      <c r="B39" s="27" t="n">
        <v>0.012</v>
      </c>
    </row>
    <row r="40" customFormat="false" ht="15" hidden="false" customHeight="false" outlineLevel="0" collapsed="false">
      <c r="A40" s="26" t="s">
        <v>66</v>
      </c>
      <c r="B40" s="29" t="n">
        <v>4</v>
      </c>
    </row>
    <row r="41" customFormat="false" ht="15" hidden="false" customHeight="false" outlineLevel="0" collapsed="false">
      <c r="A41" s="26" t="s">
        <v>67</v>
      </c>
      <c r="B41" s="27" t="n">
        <v>0.045</v>
      </c>
    </row>
    <row r="42" customFormat="false" ht="15" hidden="false" customHeight="false" outlineLevel="0" collapsed="false">
      <c r="A42" s="26" t="s">
        <v>68</v>
      </c>
      <c r="B42" s="28" t="n">
        <v>30</v>
      </c>
    </row>
    <row r="43" customFormat="false" ht="15" hidden="false" customHeight="false" outlineLevel="0" collapsed="false">
      <c r="A43" s="26" t="s">
        <v>69</v>
      </c>
      <c r="B43" s="30" t="n">
        <v>0.0166</v>
      </c>
    </row>
  </sheetData>
  <mergeCells count="5">
    <mergeCell ref="A1:H1"/>
    <mergeCell ref="A2:H2"/>
    <mergeCell ref="A4:H4"/>
    <mergeCell ref="A17:H17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18" activeCellId="0" sqref="B18"/>
    </sheetView>
  </sheetViews>
  <sheetFormatPr defaultColWidth="8.7304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5"/>
    <col collapsed="false" customWidth="true" hidden="false" outlineLevel="0" max="6" min="6" style="1" width="18"/>
  </cols>
  <sheetData>
    <row r="1" customFormat="false" ht="18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72</v>
      </c>
      <c r="B4" s="5"/>
      <c r="C4" s="5"/>
      <c r="D4" s="5"/>
      <c r="E4" s="5"/>
      <c r="F4" s="5"/>
      <c r="G4" s="4"/>
      <c r="H4" s="4"/>
    </row>
    <row r="5" customFormat="false" ht="15" hidden="false" customHeight="true" outlineLevel="0" collapsed="false">
      <c r="A5" s="4"/>
      <c r="B5" s="31" t="n">
        <v>2011</v>
      </c>
      <c r="C5" s="31" t="n">
        <v>2012</v>
      </c>
      <c r="D5" s="31" t="n">
        <v>2013</v>
      </c>
      <c r="E5" s="31" t="n">
        <v>2014</v>
      </c>
      <c r="F5" s="31" t="n">
        <v>2015</v>
      </c>
      <c r="G5" s="4"/>
      <c r="H5" s="4"/>
    </row>
    <row r="6" customFormat="false" ht="15" hidden="false" customHeight="true" outlineLevel="0" collapsed="false">
      <c r="A6" s="4" t="s">
        <v>73</v>
      </c>
      <c r="B6" s="13" t="n">
        <v>80.94</v>
      </c>
      <c r="C6" s="13" t="n">
        <v>93.081</v>
      </c>
      <c r="D6" s="13" t="n">
        <v>105.182</v>
      </c>
      <c r="E6" s="13" t="n">
        <v>116.751</v>
      </c>
      <c r="F6" s="13" t="n">
        <v>127.259</v>
      </c>
      <c r="G6" s="4"/>
      <c r="H6" s="4"/>
    </row>
    <row r="7" customFormat="false" ht="15" hidden="false" customHeight="true" outlineLevel="0" collapsed="false">
      <c r="A7" s="4" t="s">
        <v>74</v>
      </c>
      <c r="B7" s="13" t="n">
        <v>6.07</v>
      </c>
      <c r="C7" s="13" t="n">
        <v>7.819</v>
      </c>
      <c r="D7" s="13" t="n">
        <v>8.835</v>
      </c>
      <c r="E7" s="13" t="n">
        <v>9.807</v>
      </c>
      <c r="F7" s="13" t="n">
        <v>10.69</v>
      </c>
      <c r="G7" s="4"/>
      <c r="H7" s="4"/>
    </row>
    <row r="8" customFormat="false" ht="15" hidden="false" customHeight="true" outlineLevel="0" collapsed="false">
      <c r="A8" s="4" t="s">
        <v>75</v>
      </c>
      <c r="B8" s="13" t="n">
        <v>2.817</v>
      </c>
      <c r="C8" s="13" t="n">
        <v>3.237</v>
      </c>
      <c r="D8" s="13" t="n">
        <v>3.582</v>
      </c>
      <c r="E8" s="13" t="n">
        <v>3.894</v>
      </c>
      <c r="F8" s="13" t="n">
        <v>4.124</v>
      </c>
      <c r="G8" s="4"/>
      <c r="H8" s="4"/>
    </row>
    <row r="9" customFormat="false" ht="15" hidden="false" customHeight="true" outlineLevel="0" collapsed="false">
      <c r="A9" s="4" t="s">
        <v>76</v>
      </c>
      <c r="B9" s="13" t="n">
        <v>2.374</v>
      </c>
      <c r="C9" s="13" t="n">
        <v>3.344</v>
      </c>
      <c r="D9" s="13" t="n">
        <v>3.835</v>
      </c>
      <c r="E9" s="13" t="n">
        <v>4.316</v>
      </c>
      <c r="F9" s="13" t="n">
        <v>4.793</v>
      </c>
      <c r="G9" s="4"/>
      <c r="H9" s="4"/>
    </row>
    <row r="10" customFormat="false" ht="15" hidden="false" customHeight="true" outlineLevel="0" collapsed="false">
      <c r="A10" s="4" t="s">
        <v>77</v>
      </c>
      <c r="B10" s="13" t="n">
        <v>59.62</v>
      </c>
      <c r="C10" s="13" t="n">
        <v>67.874</v>
      </c>
      <c r="D10" s="13" t="n">
        <v>76.697</v>
      </c>
      <c r="E10" s="13" t="n">
        <v>85.134</v>
      </c>
      <c r="F10" s="13" t="n">
        <v>92.797</v>
      </c>
      <c r="G10" s="4"/>
      <c r="H10" s="4"/>
    </row>
    <row r="11" customFormat="false" ht="15" hidden="false" customHeight="true" outlineLevel="0" collapsed="false">
      <c r="A11" s="4" t="s">
        <v>78</v>
      </c>
      <c r="B11" s="13" t="n">
        <v>13.442</v>
      </c>
      <c r="C11" s="13" t="n">
        <v>15.492</v>
      </c>
      <c r="D11" s="13" t="n">
        <v>17.506</v>
      </c>
      <c r="E11" s="13" t="n">
        <v>19.432</v>
      </c>
      <c r="F11" s="13" t="n">
        <v>21.181</v>
      </c>
      <c r="G11" s="4"/>
      <c r="H11" s="4"/>
    </row>
    <row r="12" customFormat="false" ht="15" hidden="false" customHeight="true" outlineLevel="0" collapsed="false">
      <c r="A12" s="4" t="s">
        <v>79</v>
      </c>
      <c r="B12" s="13" t="n">
        <v>1.483</v>
      </c>
      <c r="C12" s="13" t="n">
        <v>1.614</v>
      </c>
      <c r="D12" s="13" t="n">
        <v>1.751</v>
      </c>
      <c r="E12" s="13" t="n">
        <v>1.842</v>
      </c>
      <c r="F12" s="13" t="n">
        <v>1.869</v>
      </c>
      <c r="G12" s="4"/>
      <c r="H12" s="4"/>
    </row>
    <row r="13" customFormat="false" ht="15" hidden="false" customHeight="true" outlineLevel="0" collapsed="false">
      <c r="A13" s="4" t="s">
        <v>80</v>
      </c>
      <c r="B13" s="13" t="n">
        <v>22.247</v>
      </c>
      <c r="C13" s="13" t="n">
        <v>24.204</v>
      </c>
      <c r="D13" s="13" t="n">
        <v>26.258</v>
      </c>
      <c r="E13" s="13" t="n">
        <v>27.614</v>
      </c>
      <c r="F13" s="13" t="n">
        <v>28.028</v>
      </c>
      <c r="G13" s="4"/>
      <c r="H13" s="4"/>
    </row>
    <row r="14" customFormat="false" ht="15" hidden="false" customHeight="true" outlineLevel="0" collapsed="false">
      <c r="A14" s="4" t="s">
        <v>81</v>
      </c>
      <c r="B14" s="13" t="n">
        <v>17.198</v>
      </c>
      <c r="C14" s="13" t="n">
        <v>20.543</v>
      </c>
      <c r="D14" s="13" t="n">
        <v>24.378</v>
      </c>
      <c r="E14" s="13" t="n">
        <v>28.694</v>
      </c>
      <c r="F14" s="13" t="n">
        <v>33.488</v>
      </c>
      <c r="G14" s="4"/>
      <c r="H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5" t="s">
        <v>82</v>
      </c>
      <c r="B16" s="5"/>
      <c r="C16" s="5"/>
      <c r="D16" s="5"/>
      <c r="E16" s="5"/>
      <c r="F16" s="5"/>
      <c r="G16" s="4"/>
      <c r="H16" s="4"/>
    </row>
    <row r="17" customFormat="false" ht="15" hidden="false" customHeight="true" outlineLevel="0" collapsed="false">
      <c r="A17" s="4" t="s">
        <v>83</v>
      </c>
      <c r="B17" s="32" t="n">
        <f aca="false">SUM(B11:B13)</f>
        <v>37.172</v>
      </c>
      <c r="C17" s="32" t="n">
        <f aca="false">SUM(C11:C13)</f>
        <v>41.31</v>
      </c>
      <c r="D17" s="32" t="n">
        <f aca="false">SUM(D11:D13)</f>
        <v>45.515</v>
      </c>
      <c r="E17" s="32" t="n">
        <f aca="false">SUM(E11:E13)</f>
        <v>48.888</v>
      </c>
      <c r="F17" s="32" t="n">
        <f aca="false">SUM(F11:F13)</f>
        <v>51.078</v>
      </c>
      <c r="G17" s="4"/>
      <c r="H17" s="4"/>
    </row>
    <row r="18" customFormat="false" ht="15" hidden="false" customHeight="true" outlineLevel="0" collapsed="false">
      <c r="A18" s="4" t="s">
        <v>84</v>
      </c>
      <c r="B18" s="33" t="n">
        <f aca="false">B17/B10</f>
        <v>0.623482053002348</v>
      </c>
      <c r="C18" s="33" t="n">
        <f aca="false">C17/C10</f>
        <v>0.608627751421752</v>
      </c>
      <c r="D18" s="33" t="n">
        <f aca="false">D17/D10</f>
        <v>0.593439117566528</v>
      </c>
      <c r="E18" s="33" t="n">
        <f aca="false">E17/E10</f>
        <v>0.574247656635422</v>
      </c>
      <c r="F18" s="33" t="n">
        <f aca="false">F17/F10</f>
        <v>0.55042727674386</v>
      </c>
      <c r="G18" s="4"/>
      <c r="H18" s="4"/>
    </row>
    <row r="19" customFormat="false" ht="15" hidden="false" customHeight="true" outlineLevel="0" collapsed="false">
      <c r="A19" s="4" t="s">
        <v>85</v>
      </c>
      <c r="B19" s="33" t="n">
        <f aca="false">Supuestos!$B$18</f>
        <v>0.55</v>
      </c>
      <c r="C19" s="33" t="n">
        <f aca="false">Supuestos!$B$18</f>
        <v>0.55</v>
      </c>
      <c r="D19" s="33" t="n">
        <f aca="false">Supuestos!$B$18</f>
        <v>0.55</v>
      </c>
      <c r="E19" s="33" t="n">
        <f aca="false">Supuestos!$B$18</f>
        <v>0.55</v>
      </c>
      <c r="F19" s="33" t="n">
        <f aca="false">Supuestos!$B$18</f>
        <v>0.55</v>
      </c>
      <c r="G19" s="4"/>
      <c r="H19" s="4"/>
    </row>
    <row r="20" customFormat="false" ht="15" hidden="false" customHeight="true" outlineLevel="0" collapsed="false">
      <c r="A20" s="4" t="s">
        <v>86</v>
      </c>
      <c r="B20" s="33" t="n">
        <f aca="false">B19-B18</f>
        <v>-0.0734820530023481</v>
      </c>
      <c r="C20" s="33" t="n">
        <f aca="false">C19-C18</f>
        <v>-0.0586277514217521</v>
      </c>
      <c r="D20" s="33" t="n">
        <f aca="false">D19-D18</f>
        <v>-0.043439117566528</v>
      </c>
      <c r="E20" s="33" t="n">
        <f aca="false">E19-E18</f>
        <v>-0.0242476566354217</v>
      </c>
      <c r="F20" s="33" t="n">
        <f aca="false">F19-F18</f>
        <v>-0.000427276743860228</v>
      </c>
      <c r="G20" s="4"/>
      <c r="H20" s="4"/>
    </row>
    <row r="21" customFormat="false" ht="15" hidden="false" customHeight="true" outlineLevel="0" collapsed="false">
      <c r="A21" s="4" t="s">
        <v>87</v>
      </c>
      <c r="B21" s="19" t="n">
        <f aca="false">B10/B14</f>
        <v>3.46668217234562</v>
      </c>
      <c r="C21" s="19" t="n">
        <f aca="false">C10/C14</f>
        <v>3.3039964951565</v>
      </c>
      <c r="D21" s="19" t="n">
        <f aca="false">D10/D14</f>
        <v>3.14615637049799</v>
      </c>
      <c r="E21" s="19" t="n">
        <f aca="false">E10/E14</f>
        <v>2.96696173416045</v>
      </c>
      <c r="F21" s="19" t="n">
        <f aca="false">F10/F14</f>
        <v>2.77105231724797</v>
      </c>
      <c r="G21" s="4"/>
      <c r="H21" s="4"/>
    </row>
    <row r="22" customFormat="false" ht="15" hidden="false" customHeight="true" outlineLevel="0" collapsed="false">
      <c r="A22" s="4" t="s">
        <v>85</v>
      </c>
      <c r="B22" s="19" t="n">
        <f aca="false">Supuestos!$B$19</f>
        <v>2.7</v>
      </c>
      <c r="C22" s="19" t="n">
        <f aca="false">Supuestos!$B$19</f>
        <v>2.7</v>
      </c>
      <c r="D22" s="19" t="n">
        <f aca="false">Supuestos!$B$19</f>
        <v>2.7</v>
      </c>
      <c r="E22" s="19" t="n">
        <f aca="false">Supuestos!$B$19</f>
        <v>2.7</v>
      </c>
      <c r="F22" s="19" t="n">
        <f aca="false">Supuestos!$B$19</f>
        <v>2.7</v>
      </c>
      <c r="G22" s="4"/>
      <c r="H22" s="4"/>
    </row>
    <row r="23" customFormat="false" ht="15" hidden="false" customHeight="true" outlineLevel="0" collapsed="false">
      <c r="A23" s="4" t="s">
        <v>86</v>
      </c>
      <c r="B23" s="19" t="n">
        <f aca="false">B22-B21</f>
        <v>-0.766682172345621</v>
      </c>
      <c r="C23" s="19" t="n">
        <f aca="false">C22-C21</f>
        <v>-0.603996495156501</v>
      </c>
      <c r="D23" s="19" t="n">
        <f aca="false">D22-D21</f>
        <v>-0.44615637049799</v>
      </c>
      <c r="E23" s="19" t="n">
        <f aca="false">E22-E21</f>
        <v>-0.266961734160452</v>
      </c>
      <c r="F23" s="19" t="n">
        <f aca="false">F22-F21</f>
        <v>-0.0710523172479691</v>
      </c>
      <c r="G23" s="4"/>
      <c r="H23" s="4"/>
    </row>
    <row r="24" customFormat="false" ht="15" hidden="false" customHeight="true" outlineLevel="0" collapsed="false">
      <c r="A24" s="4" t="s">
        <v>88</v>
      </c>
      <c r="B24" s="19" t="n">
        <f aca="false">B7/B8</f>
        <v>2.1547745828896</v>
      </c>
      <c r="C24" s="19" t="n">
        <f aca="false">C7/C8</f>
        <v>2.41550818659252</v>
      </c>
      <c r="D24" s="19" t="n">
        <f aca="false">D7/D8</f>
        <v>2.46649916247906</v>
      </c>
      <c r="E24" s="19" t="n">
        <f aca="false">E7/E8</f>
        <v>2.51848998459168</v>
      </c>
      <c r="F24" s="19" t="n">
        <f aca="false">F7/F8</f>
        <v>2.5921435499515</v>
      </c>
      <c r="G24" s="4"/>
      <c r="H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A26" s="4" t="s">
        <v>89</v>
      </c>
      <c r="B26" s="34" t="str">
        <f aca="false">IF(AND(C18&lt;=C19,C21&lt;=C22),"Cumple en 2012","NO cumple en 2012")</f>
        <v>NO cumple en 2012</v>
      </c>
      <c r="C26" s="4"/>
      <c r="D26" s="4"/>
      <c r="E26" s="4"/>
      <c r="F26" s="4"/>
      <c r="G26" s="4"/>
      <c r="H26" s="4"/>
    </row>
  </sheetData>
  <mergeCells count="4">
    <mergeCell ref="A1:H1"/>
    <mergeCell ref="A2:H2"/>
    <mergeCell ref="A4:F4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1" activeCellId="0" sqref="A1"/>
    </sheetView>
  </sheetViews>
  <sheetFormatPr defaultColWidth="8.7304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5"/>
    <col collapsed="false" customWidth="true" hidden="false" outlineLevel="0" max="7" min="7" style="1" width="18"/>
  </cols>
  <sheetData>
    <row r="1" customFormat="false" ht="18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91</v>
      </c>
      <c r="B4" s="5"/>
      <c r="C4" s="5"/>
      <c r="D4" s="5"/>
      <c r="E4" s="5"/>
      <c r="F4" s="5"/>
      <c r="G4" s="5"/>
      <c r="H4" s="4"/>
    </row>
    <row r="5" customFormat="false" ht="15" hidden="false" customHeight="true" outlineLevel="0" collapsed="false">
      <c r="A5" s="4" t="s">
        <v>92</v>
      </c>
      <c r="B5" s="13" t="n">
        <v>1.44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4" t="s">
        <v>93</v>
      </c>
      <c r="B6" s="13" t="n">
        <v>8.1</v>
      </c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94</v>
      </c>
      <c r="B7" s="10" t="n">
        <v>0.05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4" t="s">
        <v>59</v>
      </c>
      <c r="B8" s="10" t="n">
        <v>0.585</v>
      </c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4" t="s">
        <v>95</v>
      </c>
      <c r="B9" s="10" t="n">
        <v>0.11</v>
      </c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4" t="s">
        <v>96</v>
      </c>
      <c r="B10" s="13" t="n">
        <v>0.76</v>
      </c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4" t="s">
        <v>97</v>
      </c>
      <c r="B11" s="35" t="n">
        <v>5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A12" s="4" t="s">
        <v>98</v>
      </c>
      <c r="B12" s="35" t="n">
        <v>75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4" t="s">
        <v>99</v>
      </c>
      <c r="B13" s="17" t="n">
        <v>4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4" t="s">
        <v>100</v>
      </c>
      <c r="B14" s="35" t="n">
        <v>30</v>
      </c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36" t="s">
        <v>101</v>
      </c>
      <c r="B15" s="37" t="n">
        <f aca="false">Supuestos!B29+Supuestos!B16</f>
        <v>0.0761189144849585</v>
      </c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5" t="s">
        <v>102</v>
      </c>
      <c r="B17" s="5"/>
      <c r="C17" s="5"/>
      <c r="D17" s="5"/>
      <c r="E17" s="5"/>
      <c r="F17" s="5"/>
      <c r="G17" s="5"/>
      <c r="H17" s="4"/>
    </row>
    <row r="18" customFormat="false" ht="15" hidden="false" customHeight="true" outlineLevel="0" collapsed="false">
      <c r="A18" s="6" t="s">
        <v>103</v>
      </c>
      <c r="B18" s="6" t="n">
        <v>0</v>
      </c>
      <c r="C18" s="6" t="n">
        <v>1</v>
      </c>
      <c r="D18" s="6" t="n">
        <v>2</v>
      </c>
      <c r="E18" s="6" t="n">
        <v>3</v>
      </c>
      <c r="F18" s="6" t="n">
        <v>4</v>
      </c>
      <c r="G18" s="6" t="n">
        <v>5</v>
      </c>
      <c r="H18" s="6"/>
    </row>
    <row r="19" customFormat="false" ht="15" hidden="false" customHeight="true" outlineLevel="0" collapsed="false">
      <c r="A19" s="4" t="s">
        <v>73</v>
      </c>
      <c r="B19" s="32"/>
      <c r="C19" s="32" t="n">
        <f aca="false">$B$6</f>
        <v>8.1</v>
      </c>
      <c r="D19" s="32" t="n">
        <f aca="false">C19*(1+$B$7)</f>
        <v>8.505</v>
      </c>
      <c r="E19" s="32" t="n">
        <f aca="false">D19*(1+$B$7)</f>
        <v>8.93025</v>
      </c>
      <c r="F19" s="32" t="n">
        <f aca="false">E19*(1+$B$7)</f>
        <v>9.3767625</v>
      </c>
      <c r="G19" s="32" t="n">
        <f aca="false">F19*(1+$B$7)</f>
        <v>9.845600625</v>
      </c>
      <c r="H19" s="4"/>
    </row>
    <row r="20" customFormat="false" ht="15" hidden="false" customHeight="true" outlineLevel="0" collapsed="false">
      <c r="A20" s="4" t="s">
        <v>104</v>
      </c>
      <c r="B20" s="32"/>
      <c r="C20" s="32" t="n">
        <f aca="false">C19*$B$8</f>
        <v>4.7385</v>
      </c>
      <c r="D20" s="32" t="n">
        <f aca="false">D19*$B$8</f>
        <v>4.975425</v>
      </c>
      <c r="E20" s="32" t="n">
        <f aca="false">E19*$B$8</f>
        <v>5.22419625</v>
      </c>
      <c r="F20" s="32" t="n">
        <f aca="false">F19*$B$8</f>
        <v>5.4854060625</v>
      </c>
      <c r="G20" s="32" t="n">
        <f aca="false">G19*$B$8</f>
        <v>5.759676365625</v>
      </c>
      <c r="H20" s="4"/>
    </row>
    <row r="21" customFormat="false" ht="15" hidden="false" customHeight="true" outlineLevel="0" collapsed="false">
      <c r="A21" s="4" t="s">
        <v>105</v>
      </c>
      <c r="B21" s="32"/>
      <c r="C21" s="32" t="n">
        <f aca="false">C19-C20</f>
        <v>3.3615</v>
      </c>
      <c r="D21" s="32" t="n">
        <f aca="false">D19-D20</f>
        <v>3.529575</v>
      </c>
      <c r="E21" s="32" t="n">
        <f aca="false">E19-E20</f>
        <v>3.70605375</v>
      </c>
      <c r="F21" s="32" t="n">
        <f aca="false">F19-F20</f>
        <v>3.8913564375</v>
      </c>
      <c r="G21" s="32" t="n">
        <f aca="false">G19-G20</f>
        <v>4.085924259375</v>
      </c>
      <c r="H21" s="4"/>
    </row>
    <row r="22" customFormat="false" ht="15" hidden="false" customHeight="true" outlineLevel="0" collapsed="false">
      <c r="A22" s="4" t="s">
        <v>106</v>
      </c>
      <c r="B22" s="32"/>
      <c r="C22" s="32" t="n">
        <f aca="false">C19*$B$9</f>
        <v>0.891</v>
      </c>
      <c r="D22" s="32" t="n">
        <f aca="false">D19*$B$9</f>
        <v>0.93555</v>
      </c>
      <c r="E22" s="32" t="n">
        <f aca="false">E19*$B$9</f>
        <v>0.9823275</v>
      </c>
      <c r="F22" s="32" t="n">
        <f aca="false">F19*$B$9</f>
        <v>1.031443875</v>
      </c>
      <c r="G22" s="32" t="n">
        <f aca="false">G19*$B$9</f>
        <v>1.08301606875</v>
      </c>
      <c r="H22" s="4"/>
    </row>
    <row r="23" customFormat="false" ht="15" hidden="false" customHeight="true" outlineLevel="0" collapsed="false">
      <c r="A23" s="4" t="s">
        <v>107</v>
      </c>
      <c r="B23" s="32"/>
      <c r="C23" s="32" t="n">
        <f aca="false">$B$10</f>
        <v>0.76</v>
      </c>
      <c r="D23" s="32" t="n">
        <f aca="false">C23*(1+$B$7)</f>
        <v>0.798</v>
      </c>
      <c r="E23" s="32" t="n">
        <f aca="false">D23*(1+$B$7)</f>
        <v>0.8379</v>
      </c>
      <c r="F23" s="32" t="n">
        <f aca="false">E23*(1+$B$7)</f>
        <v>0.879795</v>
      </c>
      <c r="G23" s="32" t="n">
        <f aca="false">F23*(1+$B$7)</f>
        <v>0.92378475</v>
      </c>
      <c r="H23" s="4"/>
    </row>
    <row r="24" customFormat="false" ht="15" hidden="false" customHeight="true" outlineLevel="0" collapsed="false">
      <c r="A24" s="4" t="s">
        <v>108</v>
      </c>
      <c r="B24" s="32"/>
      <c r="C24" s="32" t="n">
        <f aca="false">$B$5/$B$11</f>
        <v>0.288</v>
      </c>
      <c r="D24" s="32" t="n">
        <f aca="false">$B$5/$B$11</f>
        <v>0.288</v>
      </c>
      <c r="E24" s="32" t="n">
        <f aca="false">$B$5/$B$11</f>
        <v>0.288</v>
      </c>
      <c r="F24" s="32" t="n">
        <f aca="false">$B$5/$B$11</f>
        <v>0.288</v>
      </c>
      <c r="G24" s="32" t="n">
        <f aca="false">$B$5/$B$11</f>
        <v>0.288</v>
      </c>
      <c r="H24" s="4"/>
    </row>
    <row r="25" customFormat="false" ht="15" hidden="false" customHeight="true" outlineLevel="0" collapsed="false">
      <c r="A25" s="4" t="s">
        <v>109</v>
      </c>
      <c r="B25" s="32"/>
      <c r="C25" s="32" t="n">
        <f aca="false">C21-C22-C23-C24</f>
        <v>1.4225</v>
      </c>
      <c r="D25" s="32" t="n">
        <f aca="false">D21-D22-D23-D24</f>
        <v>1.508025</v>
      </c>
      <c r="E25" s="32" t="n">
        <f aca="false">E21-E22-E23-E24</f>
        <v>1.59782625</v>
      </c>
      <c r="F25" s="32" t="n">
        <f aca="false">F21-F22-F23-F24</f>
        <v>1.6921175625</v>
      </c>
      <c r="G25" s="32" t="n">
        <f aca="false">G21-G22-G23-G24</f>
        <v>1.791123440625</v>
      </c>
      <c r="H25" s="4"/>
    </row>
    <row r="26" customFormat="false" ht="15" hidden="false" customHeight="true" outlineLevel="0" collapsed="false">
      <c r="A26" s="4" t="s">
        <v>110</v>
      </c>
      <c r="B26" s="32"/>
      <c r="C26" s="32" t="n">
        <f aca="false">C25*Supuestos!$B$5</f>
        <v>0.384075</v>
      </c>
      <c r="D26" s="32" t="n">
        <f aca="false">D25*Supuestos!$B$5</f>
        <v>0.40716675</v>
      </c>
      <c r="E26" s="32" t="n">
        <f aca="false">E25*Supuestos!$B$5</f>
        <v>0.4314130875</v>
      </c>
      <c r="F26" s="32" t="n">
        <f aca="false">F25*Supuestos!$B$5</f>
        <v>0.456871741875</v>
      </c>
      <c r="G26" s="32" t="n">
        <f aca="false">G25*Supuestos!$B$5</f>
        <v>0.48360332896875</v>
      </c>
      <c r="H26" s="4"/>
    </row>
    <row r="27" customFormat="false" ht="15" hidden="false" customHeight="true" outlineLevel="0" collapsed="false">
      <c r="A27" s="4" t="s">
        <v>111</v>
      </c>
      <c r="B27" s="32"/>
      <c r="C27" s="32" t="n">
        <f aca="false">C25-C26</f>
        <v>1.038425</v>
      </c>
      <c r="D27" s="32" t="n">
        <f aca="false">D25-D26</f>
        <v>1.10085825</v>
      </c>
      <c r="E27" s="32" t="n">
        <f aca="false">E25-E26</f>
        <v>1.1664131625</v>
      </c>
      <c r="F27" s="32" t="n">
        <f aca="false">F25-F26</f>
        <v>1.235245820625</v>
      </c>
      <c r="G27" s="32" t="n">
        <f aca="false">G25-G26</f>
        <v>1.30752011165625</v>
      </c>
      <c r="H27" s="4"/>
    </row>
    <row r="28" customFormat="false" ht="15" hidden="false" customHeight="true" outlineLevel="0" collapsed="false">
      <c r="A28" s="4" t="s">
        <v>112</v>
      </c>
      <c r="B28" s="32"/>
      <c r="C28" s="32" t="n">
        <f aca="false">C27+C24</f>
        <v>1.326425</v>
      </c>
      <c r="D28" s="32" t="n">
        <f aca="false">D27+D24</f>
        <v>1.38885825</v>
      </c>
      <c r="E28" s="32" t="n">
        <f aca="false">E27+E24</f>
        <v>1.4544131625</v>
      </c>
      <c r="F28" s="32" t="n">
        <f aca="false">F27+F24</f>
        <v>1.523245820625</v>
      </c>
      <c r="G28" s="32" t="n">
        <f aca="false">G27+G24</f>
        <v>1.59552011165625</v>
      </c>
      <c r="H28" s="4"/>
    </row>
    <row r="29" customFormat="false" ht="15" hidden="false" customHeight="true" outlineLevel="0" collapsed="false">
      <c r="A29" s="4" t="s">
        <v>113</v>
      </c>
      <c r="B29" s="32"/>
      <c r="C29" s="32" t="n">
        <f aca="false">C19*$B$12/365</f>
        <v>1.66438356164384</v>
      </c>
      <c r="D29" s="32" t="n">
        <f aca="false">D19*$B$12/365</f>
        <v>1.74760273972603</v>
      </c>
      <c r="E29" s="32" t="n">
        <f aca="false">E19*$B$12/365</f>
        <v>1.83498287671233</v>
      </c>
      <c r="F29" s="32" t="n">
        <f aca="false">F19*$B$12/365</f>
        <v>1.92673202054795</v>
      </c>
      <c r="G29" s="32" t="n">
        <f aca="false">G19*$B$12/365</f>
        <v>2.02306862157534</v>
      </c>
      <c r="H29" s="4"/>
    </row>
    <row r="30" customFormat="false" ht="15" hidden="false" customHeight="true" outlineLevel="0" collapsed="false">
      <c r="A30" s="4" t="s">
        <v>114</v>
      </c>
      <c r="B30" s="32"/>
      <c r="C30" s="32" t="n">
        <f aca="false">C20/$B$13</f>
        <v>1.184625</v>
      </c>
      <c r="D30" s="32" t="n">
        <f aca="false">D20/$B$13</f>
        <v>1.24385625</v>
      </c>
      <c r="E30" s="32" t="n">
        <f aca="false">E20/$B$13</f>
        <v>1.3060490625</v>
      </c>
      <c r="F30" s="32" t="n">
        <f aca="false">F20/$B$13</f>
        <v>1.371351515625</v>
      </c>
      <c r="G30" s="32" t="n">
        <f aca="false">G20/$B$13</f>
        <v>1.43991909140625</v>
      </c>
      <c r="H30" s="4"/>
    </row>
    <row r="31" customFormat="false" ht="15" hidden="false" customHeight="true" outlineLevel="0" collapsed="false">
      <c r="A31" s="4" t="s">
        <v>115</v>
      </c>
      <c r="B31" s="32"/>
      <c r="C31" s="32" t="n">
        <f aca="false">C20*$B$14/365</f>
        <v>0.389465753424657</v>
      </c>
      <c r="D31" s="32" t="n">
        <f aca="false">D20*$B$14/365</f>
        <v>0.40893904109589</v>
      </c>
      <c r="E31" s="32" t="n">
        <f aca="false">E20*$B$14/365</f>
        <v>0.429385993150685</v>
      </c>
      <c r="F31" s="32" t="n">
        <f aca="false">F20*$B$14/365</f>
        <v>0.450855292808219</v>
      </c>
      <c r="G31" s="32" t="n">
        <f aca="false">G20*$B$14/365</f>
        <v>0.47339805744863</v>
      </c>
      <c r="H31" s="4"/>
    </row>
    <row r="32" customFormat="false" ht="15" hidden="false" customHeight="true" outlineLevel="0" collapsed="false">
      <c r="A32" s="4" t="s">
        <v>116</v>
      </c>
      <c r="B32" s="32"/>
      <c r="C32" s="32" t="n">
        <f aca="false">C29+C30-C31</f>
        <v>2.45954280821918</v>
      </c>
      <c r="D32" s="32" t="n">
        <f aca="false">D29+D30-D31</f>
        <v>2.58251994863014</v>
      </c>
      <c r="E32" s="32" t="n">
        <f aca="false">E29+E30-E31</f>
        <v>2.71164594606164</v>
      </c>
      <c r="F32" s="32" t="n">
        <f aca="false">F29+F30-F31</f>
        <v>2.84722824336473</v>
      </c>
      <c r="G32" s="32" t="n">
        <f aca="false">G29+G30-G31</f>
        <v>2.98958965553296</v>
      </c>
      <c r="H32" s="4"/>
    </row>
    <row r="33" customFormat="false" ht="15" hidden="false" customHeight="true" outlineLevel="0" collapsed="false">
      <c r="A33" s="4" t="s">
        <v>117</v>
      </c>
      <c r="B33" s="32"/>
      <c r="C33" s="32" t="n">
        <f aca="false">C32</f>
        <v>2.45954280821918</v>
      </c>
      <c r="D33" s="32" t="n">
        <f aca="false">D32-C32</f>
        <v>0.122977140410959</v>
      </c>
      <c r="E33" s="32" t="n">
        <f aca="false">E32-D32</f>
        <v>0.129125997431506</v>
      </c>
      <c r="F33" s="32" t="n">
        <f aca="false">F32-E32</f>
        <v>0.135582297303082</v>
      </c>
      <c r="G33" s="32" t="n">
        <f aca="false">G32-F32</f>
        <v>0.142361412168237</v>
      </c>
      <c r="H33" s="4"/>
    </row>
    <row r="34" customFormat="false" ht="15" hidden="false" customHeight="true" outlineLevel="0" collapsed="false">
      <c r="A34" s="4" t="s">
        <v>118</v>
      </c>
      <c r="B34" s="32"/>
      <c r="C34" s="32" t="n">
        <f aca="false">0</f>
        <v>0</v>
      </c>
      <c r="D34" s="32" t="n">
        <f aca="false">0</f>
        <v>0</v>
      </c>
      <c r="E34" s="32" t="n">
        <f aca="false">0</f>
        <v>0</v>
      </c>
      <c r="F34" s="32" t="n">
        <f aca="false">0</f>
        <v>0</v>
      </c>
      <c r="G34" s="32" t="n">
        <f aca="false">G32</f>
        <v>2.98958965553296</v>
      </c>
      <c r="H34" s="4"/>
    </row>
    <row r="35" customFormat="false" ht="15" hidden="false" customHeight="true" outlineLevel="0" collapsed="false">
      <c r="A35" s="20" t="s">
        <v>119</v>
      </c>
      <c r="B35" s="38" t="n">
        <f aca="false">-$B$5</f>
        <v>-1.44</v>
      </c>
      <c r="C35" s="38" t="n">
        <f aca="false">C28-C33+C34</f>
        <v>-1.13311780821918</v>
      </c>
      <c r="D35" s="38" t="n">
        <f aca="false">D28-D33+D34</f>
        <v>1.26588110958904</v>
      </c>
      <c r="E35" s="38" t="n">
        <f aca="false">E28-E33+E34</f>
        <v>1.32528716506849</v>
      </c>
      <c r="F35" s="38" t="n">
        <f aca="false">F28-F33+F34</f>
        <v>1.38766352332192</v>
      </c>
      <c r="G35" s="38" t="n">
        <f aca="false">G28-G33+G34</f>
        <v>4.44274835502098</v>
      </c>
      <c r="H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true" outlineLevel="0" collapsed="false">
      <c r="A37" s="4" t="s">
        <v>120</v>
      </c>
      <c r="B37" s="23" t="n">
        <f aca="false">IRR(B35:G35)</f>
        <v>0.412752237874311</v>
      </c>
      <c r="C37" s="4"/>
      <c r="D37" s="4"/>
      <c r="E37" s="4"/>
      <c r="F37" s="4"/>
      <c r="G37" s="4"/>
      <c r="H37" s="4"/>
    </row>
    <row r="38" customFormat="false" ht="15" hidden="false" customHeight="true" outlineLevel="0" collapsed="false">
      <c r="A38" s="4" t="s">
        <v>121</v>
      </c>
      <c r="B38" s="39" t="n">
        <f aca="false">NPV($B$15,C35:G35)+B35</f>
        <v>3.77699195256093</v>
      </c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A39" s="4" t="s">
        <v>122</v>
      </c>
      <c r="B39" s="39" t="n">
        <f aca="false">-MIN(B35,SUM(B35:C35),SUM(B35:D35),SUM(B35:E35),SUM(B35:F35),SUM(B35:G35))</f>
        <v>2.57311780821918</v>
      </c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0" t="s">
        <v>123</v>
      </c>
      <c r="B40" s="27" t="n">
        <v>0.15</v>
      </c>
    </row>
    <row r="41" customFormat="false" ht="15" hidden="false" customHeight="false" outlineLevel="0" collapsed="false">
      <c r="A41" s="40" t="s">
        <v>124</v>
      </c>
      <c r="B41" s="39" t="n">
        <f aca="false">NPV($B$40,C35:G35)+B35</f>
        <v>2.40549822115017</v>
      </c>
    </row>
    <row r="43" customFormat="false" ht="15" hidden="false" customHeight="false" outlineLevel="0" collapsed="false">
      <c r="A43" s="24" t="s">
        <v>125</v>
      </c>
    </row>
    <row r="44" customFormat="false" ht="15" hidden="false" customHeight="false" outlineLevel="0" collapsed="false">
      <c r="A44" s="40" t="s">
        <v>126</v>
      </c>
      <c r="B44" s="27" t="n">
        <v>0.75</v>
      </c>
    </row>
    <row r="45" customFormat="false" ht="15" hidden="false" customHeight="false" outlineLevel="0" collapsed="false">
      <c r="A45" s="6" t="s">
        <v>103</v>
      </c>
      <c r="B45" s="6" t="n">
        <v>0</v>
      </c>
      <c r="C45" s="6" t="n">
        <v>1</v>
      </c>
      <c r="D45" s="6" t="n">
        <v>2</v>
      </c>
      <c r="E45" s="6" t="n">
        <v>3</v>
      </c>
      <c r="F45" s="6" t="n">
        <v>4</v>
      </c>
      <c r="G45" s="6" t="n">
        <v>5</v>
      </c>
    </row>
    <row r="46" customFormat="false" ht="15" hidden="false" customHeight="false" outlineLevel="0" collapsed="false">
      <c r="A46" s="40" t="s">
        <v>73</v>
      </c>
      <c r="C46" s="41" t="n">
        <f aca="false">C19*$B$44</f>
        <v>6.075</v>
      </c>
      <c r="D46" s="41" t="n">
        <f aca="false">D19*$B$44</f>
        <v>6.37875</v>
      </c>
      <c r="E46" s="41" t="n">
        <f aca="false">E19*$B$44</f>
        <v>6.6976875</v>
      </c>
      <c r="F46" s="41" t="n">
        <f aca="false">F19*$B$44</f>
        <v>7.032571875</v>
      </c>
      <c r="G46" s="41" t="n">
        <f aca="false">G19*$B$44</f>
        <v>7.38420046875</v>
      </c>
    </row>
    <row r="47" customFormat="false" ht="15" hidden="false" customHeight="false" outlineLevel="0" collapsed="false">
      <c r="A47" s="40" t="s">
        <v>104</v>
      </c>
      <c r="C47" s="41" t="n">
        <f aca="false">C46*$B$8</f>
        <v>3.553875</v>
      </c>
      <c r="D47" s="41" t="n">
        <f aca="false">D46*$B$8</f>
        <v>3.73156875</v>
      </c>
      <c r="E47" s="41" t="n">
        <f aca="false">E46*$B$8</f>
        <v>3.9181471875</v>
      </c>
      <c r="F47" s="41" t="n">
        <f aca="false">F46*$B$8</f>
        <v>4.114054546875</v>
      </c>
      <c r="G47" s="41" t="n">
        <f aca="false">G46*$B$8</f>
        <v>4.31975727421875</v>
      </c>
    </row>
    <row r="48" customFormat="false" ht="15" hidden="false" customHeight="false" outlineLevel="0" collapsed="false">
      <c r="A48" s="40" t="s">
        <v>127</v>
      </c>
      <c r="C48" s="41" t="n">
        <f aca="false">C22</f>
        <v>0.891</v>
      </c>
      <c r="D48" s="41" t="n">
        <f aca="false">D22</f>
        <v>0.93555</v>
      </c>
      <c r="E48" s="41" t="n">
        <f aca="false">E22</f>
        <v>0.9823275</v>
      </c>
      <c r="F48" s="41" t="n">
        <f aca="false">F22</f>
        <v>1.031443875</v>
      </c>
      <c r="G48" s="41" t="n">
        <f aca="false">G22</f>
        <v>1.08301606875</v>
      </c>
    </row>
    <row r="49" customFormat="false" ht="15" hidden="false" customHeight="false" outlineLevel="0" collapsed="false">
      <c r="A49" s="40" t="s">
        <v>107</v>
      </c>
      <c r="C49" s="41" t="n">
        <f aca="false">C23</f>
        <v>0.76</v>
      </c>
      <c r="D49" s="41" t="n">
        <f aca="false">D23</f>
        <v>0.798</v>
      </c>
      <c r="E49" s="41" t="n">
        <f aca="false">E23</f>
        <v>0.8379</v>
      </c>
      <c r="F49" s="41" t="n">
        <f aca="false">F23</f>
        <v>0.879795</v>
      </c>
      <c r="G49" s="41" t="n">
        <f aca="false">G23</f>
        <v>0.92378475</v>
      </c>
    </row>
    <row r="50" customFormat="false" ht="15" hidden="false" customHeight="false" outlineLevel="0" collapsed="false">
      <c r="A50" s="40" t="s">
        <v>108</v>
      </c>
      <c r="C50" s="41" t="n">
        <f aca="false">C24</f>
        <v>0.288</v>
      </c>
      <c r="D50" s="41" t="n">
        <f aca="false">D24</f>
        <v>0.288</v>
      </c>
      <c r="E50" s="41" t="n">
        <f aca="false">E24</f>
        <v>0.288</v>
      </c>
      <c r="F50" s="41" t="n">
        <f aca="false">F24</f>
        <v>0.288</v>
      </c>
      <c r="G50" s="41" t="n">
        <f aca="false">G24</f>
        <v>0.288</v>
      </c>
    </row>
    <row r="51" customFormat="false" ht="15" hidden="false" customHeight="false" outlineLevel="0" collapsed="false">
      <c r="A51" s="40" t="s">
        <v>109</v>
      </c>
      <c r="C51" s="41" t="n">
        <f aca="false">C46-C47-C48-C49-C50</f>
        <v>0.582125</v>
      </c>
      <c r="D51" s="41" t="n">
        <f aca="false">D46-D47-D48-D49-D50</f>
        <v>0.62563125</v>
      </c>
      <c r="E51" s="41" t="n">
        <f aca="false">E46-E47-E48-E49-E50</f>
        <v>0.6713128125</v>
      </c>
      <c r="F51" s="41" t="n">
        <f aca="false">F46-F47-F48-F49-F50</f>
        <v>0.719278453125</v>
      </c>
      <c r="G51" s="41" t="n">
        <f aca="false">G46-G47-G48-G49-G50</f>
        <v>0.769642375781251</v>
      </c>
    </row>
    <row r="52" customFormat="false" ht="15" hidden="false" customHeight="false" outlineLevel="0" collapsed="false">
      <c r="A52" s="40" t="s">
        <v>112</v>
      </c>
      <c r="C52" s="41" t="n">
        <f aca="false">C51*(1-Supuestos!$B$5)+C50</f>
        <v>0.71295125</v>
      </c>
      <c r="D52" s="41" t="n">
        <f aca="false">D51*(1-Supuestos!$B$5)+D50</f>
        <v>0.7447108125</v>
      </c>
      <c r="E52" s="41" t="n">
        <f aca="false">E51*(1-Supuestos!$B$5)+E50</f>
        <v>0.778058353125</v>
      </c>
      <c r="F52" s="41" t="n">
        <f aca="false">F51*(1-Supuestos!$B$5)+F50</f>
        <v>0.81307327078125</v>
      </c>
      <c r="G52" s="41" t="n">
        <f aca="false">G51*(1-Supuestos!$B$5)+G50</f>
        <v>0.849838934320313</v>
      </c>
    </row>
    <row r="53" customFormat="false" ht="15" hidden="false" customHeight="false" outlineLevel="0" collapsed="false">
      <c r="A53" s="40" t="s">
        <v>116</v>
      </c>
      <c r="C53" s="41" t="n">
        <f aca="false">C46*$B$12/365+C47/$B$13-C47*$B$14/365</f>
        <v>1.84465710616438</v>
      </c>
      <c r="D53" s="41" t="n">
        <f aca="false">D46*$B$12/365+D47/$B$13-D47*$B$14/365</f>
        <v>1.9368899614726</v>
      </c>
      <c r="E53" s="41" t="n">
        <f aca="false">E46*$B$12/365+E47/$B$13-E47*$B$14/365</f>
        <v>2.03373445954623</v>
      </c>
      <c r="F53" s="41" t="n">
        <f aca="false">F46*$B$12/365+F47/$B$13-F47*$B$14/365</f>
        <v>2.13542118252355</v>
      </c>
      <c r="G53" s="41" t="n">
        <f aca="false">G46*$B$12/365+G47/$B$13-G47*$B$14/365</f>
        <v>2.24219224164972</v>
      </c>
    </row>
    <row r="54" customFormat="false" ht="15" hidden="false" customHeight="false" outlineLevel="0" collapsed="false">
      <c r="A54" s="40" t="s">
        <v>117</v>
      </c>
      <c r="C54" s="41" t="n">
        <f aca="false">C53</f>
        <v>1.84465710616438</v>
      </c>
      <c r="D54" s="41" t="n">
        <f aca="false">D53-C53</f>
        <v>0.0922328553082192</v>
      </c>
      <c r="E54" s="41" t="n">
        <f aca="false">E53-D53</f>
        <v>0.0968444980736305</v>
      </c>
      <c r="F54" s="41" t="n">
        <f aca="false">F53-E53</f>
        <v>0.101686722977312</v>
      </c>
      <c r="G54" s="41" t="n">
        <f aca="false">G53-F53</f>
        <v>0.106771059126177</v>
      </c>
    </row>
    <row r="55" customFormat="false" ht="15" hidden="false" customHeight="false" outlineLevel="0" collapsed="false">
      <c r="A55" s="25" t="s">
        <v>119</v>
      </c>
      <c r="B55" s="41" t="n">
        <f aca="false">B35</f>
        <v>-1.44</v>
      </c>
      <c r="C55" s="41" t="n">
        <f aca="false">C52-C54</f>
        <v>-1.13170585616438</v>
      </c>
      <c r="D55" s="41" t="n">
        <f aca="false">D52-D54</f>
        <v>0.652477957191781</v>
      </c>
      <c r="E55" s="41" t="n">
        <f aca="false">E52-E54</f>
        <v>0.68121385505137</v>
      </c>
      <c r="F55" s="41" t="n">
        <f aca="false">F52-F54</f>
        <v>0.711386547803938</v>
      </c>
      <c r="G55" s="41" t="n">
        <f aca="false">G52-G54+G53</f>
        <v>2.98526011684386</v>
      </c>
    </row>
    <row r="56" customFormat="false" ht="15" hidden="false" customHeight="false" outlineLevel="0" collapsed="false">
      <c r="A56" s="40" t="s">
        <v>120</v>
      </c>
      <c r="B56" s="23" t="n">
        <f aca="false">IRR(B55:G55)</f>
        <v>0.200991436384698</v>
      </c>
    </row>
    <row r="57" customFormat="false" ht="15" hidden="false" customHeight="false" outlineLevel="0" collapsed="false">
      <c r="A57" s="40" t="s">
        <v>121</v>
      </c>
      <c r="B57" s="39" t="n">
        <f aca="false">NPV($B$15,C55:G55)+B55</f>
        <v>1.21751875596153</v>
      </c>
    </row>
    <row r="59" customFormat="false" ht="15" hidden="false" customHeight="false" outlineLevel="0" collapsed="false">
      <c r="A59" s="24" t="s">
        <v>128</v>
      </c>
    </row>
    <row r="60" customFormat="false" ht="15" hidden="false" customHeight="false" outlineLevel="0" collapsed="false">
      <c r="A60" s="6" t="s">
        <v>103</v>
      </c>
      <c r="B60" s="6" t="n">
        <v>0</v>
      </c>
      <c r="C60" s="6" t="n">
        <v>1</v>
      </c>
      <c r="D60" s="6" t="n">
        <v>2</v>
      </c>
      <c r="E60" s="6" t="n">
        <v>3</v>
      </c>
      <c r="F60" s="6" t="n">
        <v>4</v>
      </c>
      <c r="G60" s="6" t="n">
        <v>5</v>
      </c>
    </row>
    <row r="61" customFormat="false" ht="15" hidden="false" customHeight="false" outlineLevel="0" collapsed="false">
      <c r="A61" s="25" t="s">
        <v>119</v>
      </c>
      <c r="B61" s="41" t="n">
        <f aca="false">B35-C33</f>
        <v>-3.89954280821918</v>
      </c>
      <c r="C61" s="41" t="n">
        <f aca="false">C28-D33</f>
        <v>1.20344785958904</v>
      </c>
      <c r="D61" s="41" t="n">
        <f aca="false">D28-E33</f>
        <v>1.25973225256849</v>
      </c>
      <c r="E61" s="41" t="n">
        <f aca="false">E28-F33</f>
        <v>1.31883086519692</v>
      </c>
      <c r="F61" s="41" t="n">
        <f aca="false">F28-G33</f>
        <v>1.38088440845676</v>
      </c>
      <c r="G61" s="41" t="n">
        <f aca="false">G28+G32</f>
        <v>4.58510976718921</v>
      </c>
    </row>
    <row r="62" customFormat="false" ht="15" hidden="false" customHeight="false" outlineLevel="0" collapsed="false">
      <c r="A62" s="40" t="s">
        <v>120</v>
      </c>
      <c r="B62" s="23" t="n">
        <f aca="false">IRR(B61:G61)</f>
        <v>0.309694310789563</v>
      </c>
    </row>
    <row r="63" customFormat="false" ht="15" hidden="false" customHeight="false" outlineLevel="0" collapsed="false">
      <c r="A63" s="40" t="s">
        <v>121</v>
      </c>
      <c r="B63" s="39" t="n">
        <f aca="false">NPV($B$15,C61:G61)+B61</f>
        <v>3.57184147772031</v>
      </c>
    </row>
  </sheetData>
  <mergeCells count="4">
    <mergeCell ref="A1:H1"/>
    <mergeCell ref="A2:H2"/>
    <mergeCell ref="A4:G4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7304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</cols>
  <sheetData>
    <row r="1" customFormat="false" ht="18" hidden="false" customHeight="true" outlineLevel="0" collapsed="false">
      <c r="A1" s="2" t="s">
        <v>129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130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131</v>
      </c>
      <c r="B4" s="5"/>
      <c r="C4" s="5"/>
      <c r="D4" s="5"/>
      <c r="E4" s="5"/>
      <c r="F4" s="4"/>
      <c r="G4" s="4"/>
      <c r="H4" s="4"/>
    </row>
    <row r="5" customFormat="false" ht="15" hidden="false" customHeight="true" outlineLevel="0" collapsed="false">
      <c r="A5" s="4" t="s">
        <v>132</v>
      </c>
      <c r="B5" s="42" t="n">
        <f aca="false">Supuestos!B11*Supuestos!B12/1000000</f>
        <v>11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4" t="s">
        <v>133</v>
      </c>
      <c r="B6" s="43" t="n">
        <f aca="false">1-Supuestos!B12/Supuestos!B9</f>
        <v>0.156441717791411</v>
      </c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134</v>
      </c>
      <c r="B7" s="44" t="n">
        <f aca="false">Supuestos!B10+Supuestos!B11</f>
        <v>1565327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4" t="s">
        <v>135</v>
      </c>
      <c r="B8" s="43" t="n">
        <f aca="false">Supuestos!B11/B7</f>
        <v>0.25553766082103</v>
      </c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4" t="s">
        <v>136</v>
      </c>
      <c r="B9" s="42" t="n">
        <f aca="false">'PGS Standalone'!C14+B5</f>
        <v>31.543</v>
      </c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4" t="s">
        <v>137</v>
      </c>
      <c r="B10" s="42" t="n">
        <f aca="false">'PGS Standalone'!C17-B5</f>
        <v>30.31</v>
      </c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4" t="s">
        <v>138</v>
      </c>
      <c r="B11" s="43" t="n">
        <f aca="false">B10/'PGS Standalone'!C10</f>
        <v>0.446562748622448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A12" s="4" t="s">
        <v>139</v>
      </c>
      <c r="B12" s="45" t="n">
        <f aca="false">'PGS Standalone'!C10/B9</f>
        <v>2.15179279079352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4" t="s">
        <v>140</v>
      </c>
      <c r="B13" s="42" t="n">
        <f aca="false">B5-'Programa TV'!B39</f>
        <v>8.42688219178082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4" t="s">
        <v>89</v>
      </c>
      <c r="B16" s="46" t="str">
        <f aca="false">IF(AND(B11&lt;=Supuestos!B18,B12&lt;=Supuestos!B19),"Restaura cumplimiento; aceptar","No restaura cumplimiento")</f>
        <v>Restaura cumplimiento; aceptar</v>
      </c>
      <c r="C16" s="4"/>
      <c r="D16" s="4"/>
      <c r="E16" s="4"/>
      <c r="F16" s="4"/>
      <c r="G16" s="4"/>
      <c r="H16" s="4"/>
    </row>
  </sheetData>
  <mergeCells count="3">
    <mergeCell ref="A1:H1"/>
    <mergeCell ref="A2:H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7304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5"/>
    <col collapsed="false" customWidth="true" hidden="false" outlineLevel="0" max="7" min="6" style="1" width="18"/>
  </cols>
  <sheetData>
    <row r="1" customFormat="false" ht="18" hidden="false" customHeight="true" outlineLevel="0" collapsed="false">
      <c r="A1" s="2" t="s">
        <v>141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142</v>
      </c>
      <c r="B4" s="5"/>
      <c r="C4" s="5"/>
      <c r="D4" s="5"/>
      <c r="E4" s="5"/>
      <c r="F4" s="5"/>
      <c r="G4" s="5"/>
      <c r="H4" s="4"/>
    </row>
    <row r="5" customFormat="false" ht="15" hidden="false" customHeight="true" outlineLevel="0" collapsed="false">
      <c r="A5" s="4"/>
      <c r="B5" s="6" t="n">
        <v>2011</v>
      </c>
      <c r="C5" s="6" t="n">
        <v>2012</v>
      </c>
      <c r="D5" s="6" t="n">
        <v>2013</v>
      </c>
      <c r="E5" s="6" t="n">
        <v>2014</v>
      </c>
      <c r="F5" s="6" t="n">
        <v>2015</v>
      </c>
      <c r="G5" s="4"/>
      <c r="H5" s="4"/>
    </row>
    <row r="6" customFormat="false" ht="15" hidden="false" customHeight="true" outlineLevel="0" collapsed="false">
      <c r="A6" s="4" t="s">
        <v>94</v>
      </c>
      <c r="B6" s="4"/>
      <c r="C6" s="10" t="n">
        <v>0.07</v>
      </c>
      <c r="D6" s="10" t="n">
        <v>0.06</v>
      </c>
      <c r="E6" s="10" t="n">
        <v>0.05</v>
      </c>
      <c r="F6" s="10" t="n">
        <v>0.048</v>
      </c>
      <c r="G6" s="4"/>
      <c r="H6" s="4"/>
    </row>
    <row r="7" customFormat="false" ht="15" hidden="false" customHeight="true" outlineLevel="0" collapsed="false">
      <c r="A7" s="4" t="s">
        <v>73</v>
      </c>
      <c r="B7" s="13" t="n">
        <v>17.564</v>
      </c>
      <c r="C7" s="32" t="n">
        <f aca="false">B7*(1+C6)</f>
        <v>18.79348</v>
      </c>
      <c r="D7" s="32" t="n">
        <f aca="false">C7*(1+D6)</f>
        <v>19.9210888</v>
      </c>
      <c r="E7" s="32" t="n">
        <f aca="false">D7*(1+E6)</f>
        <v>20.91714324</v>
      </c>
      <c r="F7" s="32" t="n">
        <f aca="false">E7*(1+F6)</f>
        <v>21.92116611552</v>
      </c>
      <c r="G7" s="4"/>
      <c r="H7" s="4"/>
    </row>
    <row r="8" customFormat="false" ht="15" hidden="false" customHeight="true" outlineLevel="0" collapsed="false">
      <c r="A8" s="4" t="s">
        <v>143</v>
      </c>
      <c r="B8" s="4"/>
      <c r="C8" s="37" t="n">
        <f aca="false">Supuestos!$B$33</f>
        <v>0.615</v>
      </c>
      <c r="D8" s="37" t="n">
        <f aca="false">Supuestos!$C$33</f>
        <v>0.585</v>
      </c>
      <c r="E8" s="37" t="n">
        <f aca="false">Supuestos!$C$33</f>
        <v>0.585</v>
      </c>
      <c r="F8" s="37" t="n">
        <f aca="false">Supuestos!$C$33</f>
        <v>0.585</v>
      </c>
      <c r="G8" s="4"/>
      <c r="H8" s="4"/>
    </row>
    <row r="9" customFormat="false" ht="15" hidden="false" customHeight="true" outlineLevel="0" collapsed="false">
      <c r="A9" s="4" t="s">
        <v>144</v>
      </c>
      <c r="B9" s="4"/>
      <c r="C9" s="37" t="n">
        <f aca="false">Supuestos!$B$34</f>
        <v>0.01</v>
      </c>
      <c r="D9" s="37" t="n">
        <f aca="false">Supuestos!$C$34</f>
        <v>0.016</v>
      </c>
      <c r="E9" s="37" t="n">
        <f aca="false">Supuestos!$C$34</f>
        <v>0.016</v>
      </c>
      <c r="F9" s="37" t="n">
        <f aca="false">Supuestos!$C$34</f>
        <v>0.016</v>
      </c>
      <c r="G9" s="4"/>
      <c r="H9" s="4"/>
    </row>
    <row r="10" customFormat="false" ht="15" hidden="false" customHeight="true" outlineLevel="0" collapsed="false">
      <c r="A10" s="4" t="s">
        <v>145</v>
      </c>
      <c r="B10" s="4"/>
      <c r="C10" s="37" t="n">
        <f aca="false">Supuestos!$B$35</f>
        <v>0.301</v>
      </c>
      <c r="D10" s="37" t="n">
        <f aca="false">Supuestos!$C$35</f>
        <v>0.315</v>
      </c>
      <c r="E10" s="37" t="n">
        <f aca="false">Supuestos!$C$35</f>
        <v>0.315</v>
      </c>
      <c r="F10" s="37" t="n">
        <f aca="false">Supuestos!$C$35</f>
        <v>0.315</v>
      </c>
      <c r="G10" s="4"/>
      <c r="H10" s="4"/>
    </row>
    <row r="11" customFormat="false" ht="15" hidden="false" customHeight="true" outlineLevel="0" collapsed="false">
      <c r="A11" s="4" t="s">
        <v>74</v>
      </c>
      <c r="B11" s="32"/>
      <c r="C11" s="32" t="n">
        <f aca="false">C7*(1-C8-C9-C10)</f>
        <v>1.39071752</v>
      </c>
      <c r="D11" s="32" t="n">
        <f aca="false">D7*(1-D8-D9-D10)</f>
        <v>1.6733714592</v>
      </c>
      <c r="E11" s="32" t="n">
        <f aca="false">E7*(1-E8-E9-E10)</f>
        <v>1.75704003216</v>
      </c>
      <c r="F11" s="32" t="n">
        <f aca="false">F7*(1-F8-F9-F10)</f>
        <v>1.84137795370368</v>
      </c>
      <c r="G11" s="4"/>
      <c r="H11" s="4"/>
    </row>
    <row r="12" customFormat="false" ht="15" hidden="false" customHeight="true" outlineLevel="0" collapsed="false">
      <c r="A12" s="4" t="s">
        <v>111</v>
      </c>
      <c r="B12" s="32"/>
      <c r="C12" s="32" t="n">
        <f aca="false">C11*(1-Supuestos!$B$5)</f>
        <v>1.0152237896</v>
      </c>
      <c r="D12" s="32" t="n">
        <f aca="false">D11*(1-Supuestos!$B$5)</f>
        <v>1.221561165216</v>
      </c>
      <c r="E12" s="32" t="n">
        <f aca="false">E11*(1-Supuestos!$B$5)</f>
        <v>1.2826392234768</v>
      </c>
      <c r="F12" s="32" t="n">
        <f aca="false">F11*(1-Supuestos!$B$5)</f>
        <v>1.34420590620369</v>
      </c>
      <c r="G12" s="4"/>
      <c r="H12" s="4"/>
    </row>
    <row r="13" customFormat="false" ht="15" hidden="false" customHeight="true" outlineLevel="0" collapsed="false">
      <c r="A13" s="4" t="s">
        <v>146</v>
      </c>
      <c r="B13" s="32"/>
      <c r="C13" s="47" t="n">
        <f aca="false">C7*(C8+C9+C10)*Supuestos!$B$36/365+C7*Supuestos!$B$37/365+C7*C8/Supuestos!$B$38+C7*Supuestos!$B$39+C7/Supuestos!$B$40+C7*Supuestos!$B$41</f>
        <v>13.4743459089041</v>
      </c>
      <c r="D13" s="47" t="n">
        <f aca="false">D7*(D8+D9+D10)*Supuestos!$B$36/365+D7*Supuestos!$B$37/365+D7*D8/Supuestos!$B$38+D7*Supuestos!$B$39+D7/Supuestos!$B$40+D7*Supuestos!$B$41</f>
        <v>14.1224828323425</v>
      </c>
      <c r="E13" s="47" t="n">
        <f aca="false">E7*(E8+E9+E10)*Supuestos!$B$36/365+E7*Supuestos!$B$37/365+E7*E8/Supuestos!$B$38+E7*Supuestos!$B$39+E7/Supuestos!$B$40+E7*Supuestos!$B$41</f>
        <v>14.8286069739596</v>
      </c>
      <c r="F13" s="47" t="n">
        <f aca="false">F7*(F8+F9+F10)*Supuestos!$B$36/365+F7*Supuestos!$B$37/365+F7*F8/Supuestos!$B$38+F7*Supuestos!$B$39+F7/Supuestos!$B$40+F7*Supuestos!$B$41</f>
        <v>15.5403801087097</v>
      </c>
      <c r="G13" s="4"/>
      <c r="H13" s="4"/>
    </row>
    <row r="14" customFormat="false" ht="15" hidden="false" customHeight="true" outlineLevel="0" collapsed="false">
      <c r="A14" s="4" t="s">
        <v>147</v>
      </c>
      <c r="B14" s="32"/>
      <c r="C14" s="47" t="n">
        <f aca="false">C7*C8*Supuestos!$B$42/365+C7*Supuestos!$B$43</f>
        <v>1.26194356526027</v>
      </c>
      <c r="D14" s="47" t="n">
        <f aca="false">D7*D8*Supuestos!$B$42/365+D7*Supuestos!$B$43</f>
        <v>1.28853968624438</v>
      </c>
      <c r="E14" s="47" t="n">
        <f aca="false">E7*E8*Supuestos!$B$42/365+E7*Supuestos!$B$43</f>
        <v>1.3529666705566</v>
      </c>
      <c r="F14" s="47" t="n">
        <f aca="false">F7*F8*Supuestos!$B$42/365+F7*Supuestos!$B$43</f>
        <v>1.41790907074332</v>
      </c>
      <c r="G14" s="4"/>
      <c r="H14" s="4"/>
    </row>
    <row r="15" customFormat="false" ht="15" hidden="false" customHeight="true" outlineLevel="0" collapsed="false">
      <c r="A15" s="4" t="s">
        <v>148</v>
      </c>
      <c r="B15" s="13" t="n">
        <v>10.626</v>
      </c>
      <c r="C15" s="32" t="n">
        <f aca="false">C13-C14</f>
        <v>12.2124023436438</v>
      </c>
      <c r="D15" s="32" t="n">
        <f aca="false">D13-D14</f>
        <v>12.8339431460981</v>
      </c>
      <c r="E15" s="32" t="n">
        <f aca="false">E13-E14</f>
        <v>13.475640303403</v>
      </c>
      <c r="F15" s="32" t="n">
        <f aca="false">F13-F14</f>
        <v>14.1224710379663</v>
      </c>
      <c r="G15" s="4"/>
      <c r="H15" s="4"/>
    </row>
    <row r="16" customFormat="false" ht="15" hidden="false" customHeight="true" outlineLevel="0" collapsed="false">
      <c r="A16" s="4" t="s">
        <v>149</v>
      </c>
      <c r="B16" s="32"/>
      <c r="C16" s="32" t="n">
        <f aca="false">C15-B15</f>
        <v>1.58640234364384</v>
      </c>
      <c r="D16" s="32" t="n">
        <f aca="false">D15-C15</f>
        <v>0.621540802454245</v>
      </c>
      <c r="E16" s="32" t="n">
        <f aca="false">E15-D15</f>
        <v>0.641697157304908</v>
      </c>
      <c r="F16" s="32" t="n">
        <f aca="false">F15-E15</f>
        <v>0.646830734563343</v>
      </c>
      <c r="G16" s="4"/>
      <c r="H16" s="4"/>
    </row>
    <row r="17" customFormat="false" ht="15" hidden="false" customHeight="true" outlineLevel="0" collapsed="false">
      <c r="A17" s="4" t="s">
        <v>150</v>
      </c>
      <c r="B17" s="32"/>
      <c r="C17" s="32" t="n">
        <f aca="false">C12-C16</f>
        <v>-0.571178554043838</v>
      </c>
      <c r="D17" s="32" t="n">
        <f aca="false">D12-D16</f>
        <v>0.600020362761756</v>
      </c>
      <c r="E17" s="32" t="n">
        <f aca="false">E12-E16</f>
        <v>0.640942066171893</v>
      </c>
      <c r="F17" s="32" t="n">
        <f aca="false">F12-F16</f>
        <v>0.697375171640344</v>
      </c>
      <c r="G17" s="4"/>
      <c r="H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A20" s="5" t="s">
        <v>151</v>
      </c>
      <c r="B20" s="5"/>
      <c r="C20" s="5"/>
      <c r="D20" s="5"/>
      <c r="E20" s="5"/>
      <c r="F20" s="5"/>
      <c r="G20" s="5"/>
      <c r="H20" s="4"/>
    </row>
    <row r="21" customFormat="false" ht="15" hidden="false" customHeight="true" outlineLevel="0" collapsed="false">
      <c r="A21" s="4" t="s">
        <v>152</v>
      </c>
      <c r="B21" s="48" t="n">
        <f aca="false">Supuestos!B29</f>
        <v>0.0761189144849585</v>
      </c>
      <c r="C21" s="4"/>
      <c r="D21" s="4"/>
      <c r="E21" s="4"/>
      <c r="F21" s="4"/>
      <c r="G21" s="4"/>
      <c r="H21" s="4"/>
    </row>
    <row r="22" customFormat="false" ht="15" hidden="false" customHeight="true" outlineLevel="0" collapsed="false">
      <c r="A22" s="4" t="s">
        <v>153</v>
      </c>
      <c r="B22" s="32" t="n">
        <f aca="false">F17*(1+Supuestos!B8)/(B21-Supuestos!B8)</f>
        <v>25.9913724717229</v>
      </c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A23" s="4" t="s">
        <v>154</v>
      </c>
      <c r="B23" s="32" t="n">
        <f aca="false">NPV(B21,C17:F17)+B22/(1+B21)^4</f>
        <v>20.4032477078263</v>
      </c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A24" s="40" t="s">
        <v>155</v>
      </c>
      <c r="B24" s="49" t="n">
        <f aca="false">Supuestos!B15</f>
        <v>0.902</v>
      </c>
      <c r="D24" s="4"/>
      <c r="E24" s="4"/>
      <c r="F24" s="4"/>
      <c r="G24" s="4"/>
      <c r="H24" s="4"/>
    </row>
    <row r="25" customFormat="false" ht="15" hidden="false" customHeight="true" outlineLevel="0" collapsed="false">
      <c r="A25" s="40" t="s">
        <v>156</v>
      </c>
      <c r="B25" s="41" t="n">
        <f aca="false">B23-B24</f>
        <v>19.5012477078263</v>
      </c>
      <c r="D25" s="4"/>
      <c r="E25" s="4"/>
      <c r="F25" s="4"/>
      <c r="G25" s="4"/>
      <c r="H25" s="4"/>
    </row>
    <row r="26" customFormat="false" ht="15" hidden="false" customHeight="true" outlineLevel="0" collapsed="false">
      <c r="A26" s="40" t="s">
        <v>157</v>
      </c>
      <c r="B26" s="49" t="n">
        <f aca="false">Supuestos!B14</f>
        <v>13.2</v>
      </c>
      <c r="D26" s="4"/>
      <c r="E26" s="4"/>
      <c r="F26" s="4"/>
      <c r="G26" s="4"/>
      <c r="H26" s="4"/>
    </row>
    <row r="27" customFormat="false" ht="15" hidden="false" customHeight="true" outlineLevel="0" collapsed="false">
      <c r="A27" s="40" t="s">
        <v>158</v>
      </c>
      <c r="B27" s="41" t="n">
        <f aca="false">B25-B26</f>
        <v>6.30124770782631</v>
      </c>
      <c r="C27" s="50"/>
      <c r="D27" s="50"/>
      <c r="E27" s="50"/>
      <c r="F27" s="50"/>
      <c r="G27" s="4"/>
      <c r="H27" s="4"/>
    </row>
    <row r="28" customFormat="false" ht="15" hidden="false" customHeight="true" outlineLevel="0" collapsed="false">
      <c r="A28" s="40" t="s">
        <v>159</v>
      </c>
      <c r="B28" s="27" t="n">
        <v>0.09</v>
      </c>
      <c r="D28" s="4"/>
      <c r="E28" s="4"/>
      <c r="F28" s="4"/>
      <c r="G28" s="4"/>
      <c r="H28" s="4"/>
    </row>
    <row r="29" customFormat="false" ht="15" hidden="false" customHeight="true" outlineLevel="0" collapsed="false">
      <c r="A29" s="40" t="s">
        <v>160</v>
      </c>
      <c r="B29" s="41" t="n">
        <f aca="false">NPV(B28,C17:F17)+(F17*(1+Supuestos!B8)/(B28-Supuestos!B8))/(1+B28)^4-B24</f>
        <v>12.3953993438481</v>
      </c>
      <c r="C29" s="51" t="str">
        <f aca="false">IF(B29&lt;B26,"Por debajo del precio de US$13.2m","Sobre el precio de US$13.2m")</f>
        <v>Por debajo del precio de US$13.2m</v>
      </c>
      <c r="D29" s="4"/>
      <c r="E29" s="4"/>
      <c r="F29" s="4"/>
      <c r="G29" s="4"/>
      <c r="H29" s="4"/>
    </row>
    <row r="31" customFormat="false" ht="15" hidden="false" customHeight="false" outlineLevel="0" collapsed="false">
      <c r="A31" s="40" t="s">
        <v>89</v>
      </c>
      <c r="B31" s="52" t="str">
        <f aca="false">IF(B27&gt;0,"Adquirir, sujeto a validar sinergias y crecimiento terminal","No adquirir al precio solicitado")</f>
        <v>Adquirir, sujeto a validar sinergias y crecimiento terminal</v>
      </c>
    </row>
  </sheetData>
  <mergeCells count="5">
    <mergeCell ref="A1:H1"/>
    <mergeCell ref="A2:H2"/>
    <mergeCell ref="A4:G4"/>
    <mergeCell ref="A20:G20"/>
    <mergeCell ref="C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3" min="2" style="1" width="13"/>
  </cols>
  <sheetData>
    <row r="1" customFormat="false" ht="18" hidden="false" customHeight="true" outlineLevel="0" collapsed="false">
      <c r="A1" s="53" t="s">
        <v>161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customFormat="false" ht="15" hidden="false" customHeight="true" outlineLevel="0" collapsed="false">
      <c r="A2" s="55" t="s">
        <v>162</v>
      </c>
    </row>
    <row r="4" customFormat="false" ht="15" hidden="false" customHeight="true" outlineLevel="0" collapsed="false">
      <c r="A4" s="56" t="s">
        <v>163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customFormat="false" ht="15" hidden="false" customHeight="true" outlineLevel="0" collapsed="false">
      <c r="A5" s="57" t="s">
        <v>164</v>
      </c>
      <c r="B5" s="58" t="n">
        <v>0.0825</v>
      </c>
    </row>
    <row r="6" customFormat="false" ht="15" hidden="false" customHeight="true" outlineLevel="0" collapsed="false">
      <c r="A6" s="57" t="s">
        <v>165</v>
      </c>
      <c r="B6" s="59" t="n">
        <v>9.724</v>
      </c>
    </row>
    <row r="7" customFormat="false" ht="15" hidden="false" customHeight="true" outlineLevel="0" collapsed="false">
      <c r="A7" s="57" t="s">
        <v>166</v>
      </c>
      <c r="B7" s="60" t="n">
        <f aca="false">Supuestos!B14-B6</f>
        <v>3.476</v>
      </c>
    </row>
    <row r="8" customFormat="false" ht="15" hidden="false" customHeight="true" outlineLevel="0" collapsed="false">
      <c r="A8" s="57" t="s">
        <v>167</v>
      </c>
      <c r="C8" s="59" t="n">
        <v>0.2</v>
      </c>
      <c r="D8" s="59" t="n">
        <v>0.3</v>
      </c>
      <c r="E8" s="59" t="n">
        <v>0.4</v>
      </c>
      <c r="F8" s="59" t="n">
        <v>0.5</v>
      </c>
    </row>
    <row r="9" customFormat="false" ht="15" hidden="false" customHeight="true" outlineLevel="0" collapsed="false">
      <c r="A9" s="57" t="s">
        <v>168</v>
      </c>
      <c r="B9" s="61" t="n">
        <f aca="false">Supuestos!B10/1000000</f>
        <v>1.165327</v>
      </c>
    </row>
    <row r="10" customFormat="false" ht="15" hidden="false" customHeight="true" outlineLevel="0" collapsed="false">
      <c r="A10" s="57" t="s">
        <v>169</v>
      </c>
      <c r="B10" s="61" t="n">
        <f aca="false">Supuestos!B11/1000000</f>
        <v>0.4</v>
      </c>
    </row>
    <row r="11" customFormat="false" ht="15" hidden="false" customHeight="true" outlineLevel="0" collapsed="false">
      <c r="A11" s="57" t="s">
        <v>170</v>
      </c>
      <c r="B11" s="61" t="n">
        <f aca="false">Supuestos!B13/1000000</f>
        <v>0.404908</v>
      </c>
    </row>
    <row r="12" customFormat="false" ht="15" hidden="false" customHeight="true" outlineLevel="0" collapsed="false">
      <c r="A12" s="57" t="s">
        <v>171</v>
      </c>
      <c r="B12" s="60" t="n">
        <f aca="false">'Emisión Acciones'!B5</f>
        <v>11</v>
      </c>
    </row>
    <row r="13" customFormat="false" ht="15" hidden="false" customHeight="true" outlineLevel="0" collapsed="false">
      <c r="A13" s="57" t="s">
        <v>172</v>
      </c>
      <c r="B13" s="60" t="n">
        <f aca="false">Supuestos!B11*(Supuestos!B9-Supuestos!B12)/1000000</f>
        <v>2.04</v>
      </c>
    </row>
    <row r="15" customFormat="false" ht="15" hidden="false" customHeight="true" outlineLevel="0" collapsed="false">
      <c r="A15" s="56" t="s">
        <v>173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</row>
    <row r="16" customFormat="false" ht="15" hidden="false" customHeight="true" outlineLevel="0" collapsed="false">
      <c r="B16" s="62" t="n">
        <v>2011</v>
      </c>
      <c r="C16" s="62" t="n">
        <v>2012</v>
      </c>
      <c r="D16" s="62" t="n">
        <v>2013</v>
      </c>
      <c r="E16" s="62" t="n">
        <v>2014</v>
      </c>
      <c r="F16" s="62" t="n">
        <v>2015</v>
      </c>
    </row>
    <row r="17" customFormat="false" ht="15" hidden="false" customHeight="true" outlineLevel="0" collapsed="false">
      <c r="A17" s="63" t="s">
        <v>174</v>
      </c>
    </row>
    <row r="18" customFormat="false" ht="15" hidden="false" customHeight="true" outlineLevel="0" collapsed="false">
      <c r="A18" s="57" t="s">
        <v>74</v>
      </c>
      <c r="C18" s="60" t="n">
        <f aca="false">'PGS Standalone'!C7</f>
        <v>7.819</v>
      </c>
      <c r="D18" s="60" t="n">
        <f aca="false">'PGS Standalone'!D7</f>
        <v>8.835</v>
      </c>
      <c r="E18" s="60" t="n">
        <f aca="false">'PGS Standalone'!E7</f>
        <v>9.807</v>
      </c>
      <c r="F18" s="60" t="n">
        <f aca="false">'PGS Standalone'!F7</f>
        <v>10.69</v>
      </c>
    </row>
    <row r="19" customFormat="false" ht="15" hidden="false" customHeight="true" outlineLevel="0" collapsed="false">
      <c r="A19" s="57" t="s">
        <v>75</v>
      </c>
      <c r="C19" s="60" t="n">
        <f aca="false">'PGS Standalone'!C8</f>
        <v>3.237</v>
      </c>
      <c r="D19" s="60" t="n">
        <f aca="false">'PGS Standalone'!D8</f>
        <v>3.582</v>
      </c>
      <c r="E19" s="60" t="n">
        <f aca="false">'PGS Standalone'!E8</f>
        <v>3.894</v>
      </c>
      <c r="F19" s="60" t="n">
        <f aca="false">'PGS Standalone'!F8</f>
        <v>4.124</v>
      </c>
    </row>
    <row r="20" customFormat="false" ht="15" hidden="false" customHeight="true" outlineLevel="0" collapsed="false">
      <c r="A20" s="57" t="s">
        <v>77</v>
      </c>
      <c r="C20" s="60" t="n">
        <f aca="false">'PGS Standalone'!C10</f>
        <v>67.874</v>
      </c>
      <c r="D20" s="60" t="n">
        <f aca="false">'PGS Standalone'!D10</f>
        <v>76.697</v>
      </c>
      <c r="E20" s="60" t="n">
        <f aca="false">'PGS Standalone'!E10</f>
        <v>85.134</v>
      </c>
      <c r="F20" s="60" t="n">
        <f aca="false">'PGS Standalone'!F10</f>
        <v>92.797</v>
      </c>
    </row>
    <row r="21" customFormat="false" ht="15" hidden="false" customHeight="true" outlineLevel="0" collapsed="false">
      <c r="A21" s="57" t="s">
        <v>175</v>
      </c>
      <c r="C21" s="60" t="n">
        <f aca="false">'PGS Standalone'!C10-'PGS Standalone'!C14-'PGS Standalone'!C17</f>
        <v>6.02099999999999</v>
      </c>
      <c r="D21" s="60" t="n">
        <f aca="false">'PGS Standalone'!D10-'PGS Standalone'!D14-'PGS Standalone'!D17</f>
        <v>6.804</v>
      </c>
      <c r="E21" s="60" t="n">
        <f aca="false">'PGS Standalone'!E10-'PGS Standalone'!E14-'PGS Standalone'!E17</f>
        <v>7.552</v>
      </c>
      <c r="F21" s="60" t="n">
        <f aca="false">'PGS Standalone'!F10-'PGS Standalone'!F14-'PGS Standalone'!F17</f>
        <v>8.231</v>
      </c>
    </row>
    <row r="22" customFormat="false" ht="15" hidden="false" customHeight="true" outlineLevel="0" collapsed="false">
      <c r="A22" s="57" t="s">
        <v>176</v>
      </c>
      <c r="B22" s="60" t="n">
        <f aca="false">'PGS Standalone'!B14</f>
        <v>17.198</v>
      </c>
    </row>
    <row r="23" customFormat="false" ht="15" hidden="false" customHeight="true" outlineLevel="0" collapsed="false">
      <c r="A23" s="63" t="s">
        <v>177</v>
      </c>
    </row>
    <row r="24" customFormat="false" ht="15" hidden="false" customHeight="true" outlineLevel="0" collapsed="false">
      <c r="A24" s="57" t="s">
        <v>109</v>
      </c>
      <c r="C24" s="60" t="n">
        <f aca="false">'Programa TV'!C25</f>
        <v>1.4225</v>
      </c>
      <c r="D24" s="60" t="n">
        <f aca="false">'Programa TV'!D25</f>
        <v>1.508025</v>
      </c>
      <c r="E24" s="60" t="n">
        <f aca="false">'Programa TV'!E25</f>
        <v>1.59782625</v>
      </c>
      <c r="F24" s="60" t="n">
        <f aca="false">'Programa TV'!F25</f>
        <v>1.6921175625</v>
      </c>
    </row>
    <row r="25" customFormat="false" ht="15" hidden="false" customHeight="true" outlineLevel="0" collapsed="false">
      <c r="A25" s="57" t="s">
        <v>178</v>
      </c>
      <c r="C25" s="60" t="n">
        <f aca="false">'Programa TV'!$B$5-SUM('Programa TV'!$C$24:C24)</f>
        <v>1.152</v>
      </c>
      <c r="D25" s="60" t="n">
        <f aca="false">'Programa TV'!$B$5-SUM('Programa TV'!$C$24:D24)</f>
        <v>0.864</v>
      </c>
      <c r="E25" s="60" t="n">
        <f aca="false">'Programa TV'!$B$5-SUM('Programa TV'!$C$24:E24)</f>
        <v>0.576</v>
      </c>
      <c r="F25" s="60" t="n">
        <f aca="false">'Programa TV'!$B$5-SUM('Programa TV'!$C$24:F24)</f>
        <v>0.288</v>
      </c>
    </row>
    <row r="26" customFormat="false" ht="15" hidden="false" customHeight="true" outlineLevel="0" collapsed="false">
      <c r="A26" s="57" t="s">
        <v>179</v>
      </c>
      <c r="C26" s="60" t="n">
        <f aca="false">'Programa TV'!C29+'Programa TV'!C30</f>
        <v>2.84900856164384</v>
      </c>
      <c r="D26" s="60" t="n">
        <f aca="false">'Programa TV'!D29+'Programa TV'!D30</f>
        <v>2.99145898972603</v>
      </c>
      <c r="E26" s="60" t="n">
        <f aca="false">'Programa TV'!E29+'Programa TV'!E30</f>
        <v>3.14103193921233</v>
      </c>
      <c r="F26" s="60" t="n">
        <f aca="false">'Programa TV'!F29+'Programa TV'!F30</f>
        <v>3.29808353617295</v>
      </c>
    </row>
    <row r="27" customFormat="false" ht="15" hidden="false" customHeight="true" outlineLevel="0" collapsed="false">
      <c r="A27" s="57" t="s">
        <v>180</v>
      </c>
      <c r="C27" s="60" t="n">
        <f aca="false">'Programa TV'!C31</f>
        <v>0.389465753424657</v>
      </c>
      <c r="D27" s="60" t="n">
        <f aca="false">'Programa TV'!D31</f>
        <v>0.40893904109589</v>
      </c>
      <c r="E27" s="60" t="n">
        <f aca="false">'Programa TV'!E31</f>
        <v>0.429385993150685</v>
      </c>
      <c r="F27" s="60" t="n">
        <f aca="false">'Programa TV'!F31</f>
        <v>0.450855292808219</v>
      </c>
    </row>
    <row r="28" customFormat="false" ht="15" hidden="false" customHeight="true" outlineLevel="0" collapsed="false">
      <c r="A28" s="57" t="s">
        <v>181</v>
      </c>
      <c r="C28" s="60" t="n">
        <f aca="false">-'Programa TV'!$B$35</f>
        <v>1.44</v>
      </c>
      <c r="D28" s="60" t="n">
        <f aca="false">MAX(0,C28-'Programa TV'!C35)</f>
        <v>2.57311780821918</v>
      </c>
      <c r="E28" s="60" t="n">
        <f aca="false">MAX(0,D28-'Programa TV'!D35)</f>
        <v>1.30723669863014</v>
      </c>
      <c r="F28" s="60" t="n">
        <f aca="false">MAX(0,E28-'Programa TV'!E35)</f>
        <v>0</v>
      </c>
    </row>
    <row r="29" customFormat="false" ht="15" hidden="false" customHeight="true" outlineLevel="0" collapsed="false">
      <c r="A29" s="57" t="s">
        <v>182</v>
      </c>
      <c r="C29" s="64" t="n">
        <f aca="false">C28*$B$5</f>
        <v>0.1188</v>
      </c>
      <c r="D29" s="64" t="n">
        <f aca="false">D28*$B$5</f>
        <v>0.212282219178082</v>
      </c>
      <c r="E29" s="64" t="n">
        <f aca="false">E28*$B$5</f>
        <v>0.107847027636986</v>
      </c>
      <c r="F29" s="64" t="n">
        <f aca="false">F28*$B$5</f>
        <v>0</v>
      </c>
    </row>
    <row r="30" customFormat="false" ht="15" hidden="false" customHeight="true" outlineLevel="0" collapsed="false">
      <c r="A30" s="63" t="s">
        <v>183</v>
      </c>
    </row>
    <row r="31" customFormat="false" ht="15" hidden="false" customHeight="true" outlineLevel="0" collapsed="false">
      <c r="A31" s="57" t="s">
        <v>74</v>
      </c>
      <c r="C31" s="60" t="n">
        <f aca="false">'Adquisición HCS'!C11</f>
        <v>1.39071752</v>
      </c>
      <c r="D31" s="60" t="n">
        <f aca="false">'Adquisición HCS'!D11</f>
        <v>1.6733714592</v>
      </c>
      <c r="E31" s="60" t="n">
        <f aca="false">'Adquisición HCS'!E11</f>
        <v>1.75704003216</v>
      </c>
      <c r="F31" s="60" t="n">
        <f aca="false">'Adquisición HCS'!F11</f>
        <v>1.84137795370368</v>
      </c>
    </row>
    <row r="32" customFormat="false" ht="15" hidden="false" customHeight="true" outlineLevel="0" collapsed="false">
      <c r="A32" s="57" t="s">
        <v>146</v>
      </c>
      <c r="C32" s="60" t="n">
        <f aca="false">'Adquisición HCS'!C13</f>
        <v>13.4743459089041</v>
      </c>
      <c r="D32" s="60" t="n">
        <f aca="false">'Adquisición HCS'!D13</f>
        <v>14.1224828323425</v>
      </c>
      <c r="E32" s="60" t="n">
        <f aca="false">'Adquisición HCS'!E13</f>
        <v>14.8286069739596</v>
      </c>
      <c r="F32" s="60" t="n">
        <f aca="false">'Adquisición HCS'!F13</f>
        <v>15.5403801087097</v>
      </c>
    </row>
    <row r="33" customFormat="false" ht="15" hidden="false" customHeight="true" outlineLevel="0" collapsed="false">
      <c r="A33" s="57" t="s">
        <v>147</v>
      </c>
      <c r="C33" s="60" t="n">
        <f aca="false">'Adquisición HCS'!C14</f>
        <v>1.26194356526027</v>
      </c>
      <c r="D33" s="60" t="n">
        <f aca="false">'Adquisición HCS'!D14</f>
        <v>1.28853968624438</v>
      </c>
      <c r="E33" s="60" t="n">
        <f aca="false">'Adquisición HCS'!E14</f>
        <v>1.3529666705566</v>
      </c>
      <c r="F33" s="60" t="n">
        <f aca="false">'Adquisición HCS'!F14</f>
        <v>1.41790907074332</v>
      </c>
    </row>
    <row r="34" customFormat="false" ht="15" hidden="false" customHeight="true" outlineLevel="0" collapsed="false">
      <c r="A34" s="57" t="s">
        <v>184</v>
      </c>
      <c r="C34" s="64" t="n">
        <f aca="false">C8</f>
        <v>0.2</v>
      </c>
      <c r="D34" s="64" t="n">
        <f aca="false">D8</f>
        <v>0.3</v>
      </c>
      <c r="E34" s="64" t="n">
        <f aca="false">E8</f>
        <v>0.4</v>
      </c>
      <c r="F34" s="64" t="n">
        <f aca="false">F8</f>
        <v>0.5</v>
      </c>
    </row>
    <row r="35" customFormat="false" ht="15" hidden="false" customHeight="true" outlineLevel="0" collapsed="false">
      <c r="A35" s="63" t="s">
        <v>185</v>
      </c>
    </row>
    <row r="36" customFormat="false" ht="15" hidden="false" customHeight="true" outlineLevel="0" collapsed="false">
      <c r="A36" s="57" t="s">
        <v>186</v>
      </c>
      <c r="C36" s="64" t="n">
        <f aca="false">$B$12*$B$5</f>
        <v>0.9075</v>
      </c>
      <c r="D36" s="64" t="n">
        <f aca="false">$B$12*$B$5</f>
        <v>0.9075</v>
      </c>
      <c r="E36" s="64" t="n">
        <f aca="false">$B$12*$B$5</f>
        <v>0.9075</v>
      </c>
      <c r="F36" s="64" t="n">
        <f aca="false">$B$12*$B$5</f>
        <v>0.9075</v>
      </c>
    </row>
    <row r="38" customFormat="false" ht="15" hidden="false" customHeight="true" outlineLevel="0" collapsed="false">
      <c r="A38" s="56" t="s">
        <v>187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customFormat="false" ht="30" hidden="false" customHeight="true" outlineLevel="0" collapsed="false">
      <c r="A39" s="65" t="s">
        <v>188</v>
      </c>
      <c r="B39" s="66" t="s">
        <v>189</v>
      </c>
      <c r="C39" s="66" t="s">
        <v>190</v>
      </c>
      <c r="D39" s="66" t="s">
        <v>191</v>
      </c>
      <c r="E39" s="66" t="s">
        <v>192</v>
      </c>
      <c r="F39" s="66" t="s">
        <v>193</v>
      </c>
      <c r="G39" s="66" t="s">
        <v>194</v>
      </c>
      <c r="H39" s="66" t="s">
        <v>195</v>
      </c>
      <c r="I39" s="66" t="s">
        <v>196</v>
      </c>
      <c r="J39" s="66" t="s">
        <v>197</v>
      </c>
      <c r="K39" s="66" t="s">
        <v>198</v>
      </c>
      <c r="L39" s="66" t="s">
        <v>199</v>
      </c>
      <c r="M39" s="66" t="s">
        <v>200</v>
      </c>
    </row>
    <row r="40" customFormat="false" ht="15" hidden="false" customHeight="true" outlineLevel="0" collapsed="false">
      <c r="A40" s="57" t="s">
        <v>201</v>
      </c>
      <c r="B40" s="67" t="n">
        <v>0</v>
      </c>
      <c r="C40" s="67" t="n">
        <v>0</v>
      </c>
      <c r="D40" s="67" t="n">
        <v>0</v>
      </c>
      <c r="E40" s="68" t="n">
        <f aca="false">C60</f>
        <v>0.608629814067242</v>
      </c>
      <c r="F40" s="69" t="n">
        <f aca="false">C61</f>
        <v>3.30401901195841</v>
      </c>
      <c r="G40" s="70" t="str">
        <f aca="false">C65</f>
        <v>No cumple</v>
      </c>
      <c r="H40" s="68" t="n">
        <f aca="false">F60</f>
        <v>0.550435682188002</v>
      </c>
      <c r="I40" s="69" t="n">
        <f aca="false">F61</f>
        <v>2.77111686189537</v>
      </c>
      <c r="J40" s="71" t="n">
        <f aca="false">C64</f>
        <v>2.87031880322004</v>
      </c>
      <c r="K40" s="71" t="n">
        <f aca="false">F64</f>
        <v>4.11316308641266</v>
      </c>
      <c r="L40" s="64" t="n">
        <f aca="false">$B$40*'Programa TV'!$B$38+$D$40*'Adquisición HCS'!$B$27-$C$40*$B$13</f>
        <v>0</v>
      </c>
      <c r="M40" s="71" t="n">
        <f aca="false">L40/$B$9</f>
        <v>0</v>
      </c>
    </row>
    <row r="41" customFormat="false" ht="15" hidden="false" customHeight="true" outlineLevel="0" collapsed="false">
      <c r="A41" s="57" t="s">
        <v>202</v>
      </c>
      <c r="B41" s="67" t="n">
        <v>1</v>
      </c>
      <c r="C41" s="67" t="n">
        <v>0</v>
      </c>
      <c r="D41" s="67" t="n">
        <v>0</v>
      </c>
      <c r="E41" s="68" t="n">
        <f aca="false">C75</f>
        <v>0.611756195764598</v>
      </c>
      <c r="F41" s="69" t="n">
        <f aca="false">C76</f>
        <v>3.34386957526808</v>
      </c>
      <c r="G41" s="70" t="str">
        <f aca="false">C80</f>
        <v>No cumple</v>
      </c>
      <c r="H41" s="68" t="n">
        <f aca="false">F75</f>
        <v>0.518695631289405</v>
      </c>
      <c r="I41" s="69" t="n">
        <f aca="false">F76</f>
        <v>2.55605543082501</v>
      </c>
      <c r="J41" s="71" t="n">
        <f aca="false">C79</f>
        <v>3.68700030120301</v>
      </c>
      <c r="K41" s="71" t="n">
        <f aca="false">F79</f>
        <v>5.1731624004464</v>
      </c>
      <c r="L41" s="64" t="n">
        <f aca="false">$B$41*'Programa TV'!$B$38+$D$41*'Adquisición HCS'!$B$27-$C$41*$B$13</f>
        <v>3.77699195256093</v>
      </c>
      <c r="M41" s="71" t="n">
        <f aca="false">L41/$B$9</f>
        <v>3.24114343232494</v>
      </c>
    </row>
    <row r="42" customFormat="false" ht="15" hidden="false" customHeight="true" outlineLevel="0" collapsed="false">
      <c r="A42" s="57" t="s">
        <v>203</v>
      </c>
      <c r="B42" s="67" t="n">
        <v>0</v>
      </c>
      <c r="C42" s="67" t="n">
        <v>1</v>
      </c>
      <c r="D42" s="67" t="n">
        <v>0</v>
      </c>
      <c r="E42" s="68" t="n">
        <f aca="false">C90</f>
        <v>0.43680444647435</v>
      </c>
      <c r="F42" s="69" t="n">
        <f aca="false">C91</f>
        <v>2.10753901488682</v>
      </c>
      <c r="G42" s="70" t="str">
        <f aca="false">C95</f>
        <v>Cumple</v>
      </c>
      <c r="H42" s="68" t="n">
        <f aca="false">F90</f>
        <v>0.403341487332565</v>
      </c>
      <c r="I42" s="69" t="n">
        <f aca="false">F91</f>
        <v>1.96866079217398</v>
      </c>
      <c r="J42" s="71" t="n">
        <f aca="false">C94</f>
        <v>2.5600625300656</v>
      </c>
      <c r="K42" s="71" t="n">
        <f aca="false">F94</f>
        <v>3.48531329236639</v>
      </c>
      <c r="L42" s="64" t="n">
        <f aca="false">$B$42*'Programa TV'!$B$38+$D$42*'Adquisición HCS'!$B$27-$C$42*$B$13</f>
        <v>-2.04</v>
      </c>
      <c r="M42" s="71" t="n">
        <f aca="false">L42/$B$9</f>
        <v>-1.75058159641028</v>
      </c>
    </row>
    <row r="43" customFormat="false" ht="15" hidden="false" customHeight="true" outlineLevel="0" collapsed="false">
      <c r="A43" s="57" t="s">
        <v>204</v>
      </c>
      <c r="B43" s="67" t="n">
        <v>0</v>
      </c>
      <c r="C43" s="67" t="n">
        <v>0</v>
      </c>
      <c r="D43" s="67" t="n">
        <v>1</v>
      </c>
      <c r="E43" s="68" t="n">
        <f aca="false">C105</f>
        <v>0.506096664749377</v>
      </c>
      <c r="F43" s="69" t="n">
        <f aca="false">C106</f>
        <v>2.45071479730994</v>
      </c>
      <c r="G43" s="70" t="str">
        <f aca="false">C110</f>
        <v>Cumple</v>
      </c>
      <c r="H43" s="68" t="n">
        <f aca="false">F105</f>
        <v>0.461801806753964</v>
      </c>
      <c r="I43" s="69" t="n">
        <f aca="false">F106</f>
        <v>2.21286215541677</v>
      </c>
      <c r="J43" s="71" t="n">
        <f aca="false">C109</f>
        <v>2.6837280977688</v>
      </c>
      <c r="K43" s="71" t="n">
        <f aca="false">F109</f>
        <v>3.67612867258957</v>
      </c>
      <c r="L43" s="64" t="n">
        <f aca="false">$B$43*'Programa TV'!$B$38+$D$43*'Adquisición HCS'!$B$27-$C$43*$B$13</f>
        <v>6.30124770782631</v>
      </c>
      <c r="M43" s="71" t="n">
        <f aca="false">L43/$B$9</f>
        <v>5.40727856457999</v>
      </c>
    </row>
    <row r="44" customFormat="false" ht="15" hidden="false" customHeight="true" outlineLevel="0" collapsed="false">
      <c r="A44" s="57" t="s">
        <v>205</v>
      </c>
      <c r="B44" s="67" t="n">
        <v>1</v>
      </c>
      <c r="C44" s="67" t="n">
        <v>1</v>
      </c>
      <c r="D44" s="67" t="n">
        <v>0</v>
      </c>
      <c r="E44" s="68" t="n">
        <f aca="false">C120</f>
        <v>0.449495693353699</v>
      </c>
      <c r="F44" s="69" t="n">
        <f aca="false">C121</f>
        <v>2.16771512874805</v>
      </c>
      <c r="G44" s="70" t="str">
        <f aca="false">C125</f>
        <v>Cumple</v>
      </c>
      <c r="H44" s="68" t="n">
        <f aca="false">F120</f>
        <v>0.377074306268432</v>
      </c>
      <c r="I44" s="69" t="n">
        <f aca="false">F121</f>
        <v>1.87670376304336</v>
      </c>
      <c r="J44" s="71" t="n">
        <f aca="false">C124</f>
        <v>3.16805114841819</v>
      </c>
      <c r="K44" s="71" t="n">
        <f aca="false">F124</f>
        <v>4.27444286122005</v>
      </c>
      <c r="L44" s="64" t="n">
        <f aca="false">$B$44*'Programa TV'!$B$38+$D$44*'Adquisición HCS'!$B$27-$C$44*$B$13</f>
        <v>1.73699195256093</v>
      </c>
      <c r="M44" s="71" t="n">
        <f aca="false">L44/$B$9</f>
        <v>1.49056183591467</v>
      </c>
    </row>
    <row r="45" customFormat="false" ht="15" hidden="false" customHeight="true" outlineLevel="0" collapsed="false">
      <c r="A45" s="57" t="s">
        <v>206</v>
      </c>
      <c r="B45" s="67" t="n">
        <v>1</v>
      </c>
      <c r="C45" s="67" t="n">
        <v>0</v>
      </c>
      <c r="D45" s="67" t="n">
        <v>1</v>
      </c>
      <c r="E45" s="68" t="n">
        <f aca="false">C135</f>
        <v>0.513244902134099</v>
      </c>
      <c r="F45" s="69" t="n">
        <f aca="false">C136</f>
        <v>2.49763502383254</v>
      </c>
      <c r="G45" s="70" t="str">
        <f aca="false">C140</f>
        <v>Cumple</v>
      </c>
      <c r="H45" s="68" t="n">
        <f aca="false">F135</f>
        <v>0.438046449413686</v>
      </c>
      <c r="I45" s="69" t="n">
        <f aca="false">F136</f>
        <v>2.10777686176829</v>
      </c>
      <c r="J45" s="71" t="n">
        <f aca="false">C139</f>
        <v>3.28981635844316</v>
      </c>
      <c r="K45" s="71" t="n">
        <f aca="false">F139</f>
        <v>4.46279170113307</v>
      </c>
      <c r="L45" s="64" t="n">
        <f aca="false">$B$45*'Programa TV'!$B$38+$D$45*'Adquisición HCS'!$B$27-$C$45*$B$13</f>
        <v>10.0782396603872</v>
      </c>
      <c r="M45" s="71" t="n">
        <f aca="false">L45/$B$9</f>
        <v>8.64842199690494</v>
      </c>
    </row>
    <row r="46" customFormat="false" ht="15" hidden="false" customHeight="true" outlineLevel="0" collapsed="false">
      <c r="A46" s="57" t="s">
        <v>207</v>
      </c>
      <c r="B46" s="67" t="n">
        <v>0</v>
      </c>
      <c r="C46" s="67" t="n">
        <v>1</v>
      </c>
      <c r="D46" s="67" t="n">
        <v>1</v>
      </c>
      <c r="E46" s="68" t="n">
        <f aca="false">C150</f>
        <v>0.368606951447907</v>
      </c>
      <c r="F46" s="69" t="n">
        <f aca="false">C151</f>
        <v>1.83306655163545</v>
      </c>
      <c r="G46" s="70" t="str">
        <f aca="false">C155</f>
        <v>Cumple</v>
      </c>
      <c r="H46" s="68" t="n">
        <f aca="false">F150</f>
        <v>0.339724288064081</v>
      </c>
      <c r="I46" s="69" t="n">
        <f aca="false">F151</f>
        <v>1.74221810118611</v>
      </c>
      <c r="J46" s="71" t="n">
        <f aca="false">C154</f>
        <v>2.47511529822585</v>
      </c>
      <c r="K46" s="71" t="n">
        <f aca="false">F154</f>
        <v>3.26603725251236</v>
      </c>
      <c r="L46" s="64" t="n">
        <f aca="false">$B$46*'Programa TV'!$B$38+$D$46*'Adquisición HCS'!$B$27-$C$46*$B$13</f>
        <v>4.26124770782631</v>
      </c>
      <c r="M46" s="71" t="n">
        <f aca="false">L46/$B$9</f>
        <v>3.65669696816971</v>
      </c>
    </row>
    <row r="47" customFormat="false" ht="15" hidden="false" customHeight="true" outlineLevel="0" collapsed="false">
      <c r="A47" s="57" t="s">
        <v>208</v>
      </c>
      <c r="B47" s="67" t="n">
        <v>1</v>
      </c>
      <c r="C47" s="67" t="n">
        <v>1</v>
      </c>
      <c r="D47" s="67" t="n">
        <v>1</v>
      </c>
      <c r="E47" s="68" t="n">
        <f aca="false">C165</f>
        <v>0.381948212472512</v>
      </c>
      <c r="F47" s="69" t="n">
        <f aca="false">C166</f>
        <v>1.88084669135939</v>
      </c>
      <c r="G47" s="70" t="str">
        <f aca="false">C170</f>
        <v>Cumple</v>
      </c>
      <c r="H47" s="68" t="n">
        <f aca="false">F165</f>
        <v>0.319762537436377</v>
      </c>
      <c r="I47" s="69" t="n">
        <f aca="false">F166</f>
        <v>1.68714456968951</v>
      </c>
      <c r="J47" s="71" t="n">
        <f aca="false">C169</f>
        <v>2.95815463109731</v>
      </c>
      <c r="K47" s="71" t="n">
        <f aca="false">F169</f>
        <v>3.89299079898017</v>
      </c>
      <c r="L47" s="64" t="n">
        <f aca="false">$B$47*'Programa TV'!$B$38+$D$47*'Adquisición HCS'!$B$27-$C$47*$B$13</f>
        <v>8.03823966038724</v>
      </c>
      <c r="M47" s="71" t="n">
        <f aca="false">L47/$B$9</f>
        <v>6.89784040049466</v>
      </c>
    </row>
    <row r="48" customFormat="false" ht="15" hidden="false" customHeight="true" outlineLevel="0" collapsed="false">
      <c r="A48" s="72" t="s">
        <v>209</v>
      </c>
    </row>
    <row r="49" customFormat="false" ht="15" hidden="false" customHeight="true" outlineLevel="0" collapsed="false">
      <c r="A49" s="72" t="s">
        <v>210</v>
      </c>
    </row>
    <row r="50" customFormat="false" ht="15" hidden="false" customHeight="true" outlineLevel="0" collapsed="false">
      <c r="A50" s="56" t="s">
        <v>211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2" customFormat="false" ht="15" hidden="false" customHeight="true" outlineLevel="0" collapsed="false">
      <c r="A52" s="63" t="str">
        <f aca="false">A40&amp;"   (TV="&amp;B40&amp;", Emisión="&amp;C40&amp;", HCS="&amp;D40&amp;")"</f>
        <v>1. Sin hacer nada   (TV=0, Emisión=0, HCS=0)</v>
      </c>
      <c r="B52" s="73" t="n">
        <v>2011</v>
      </c>
      <c r="C52" s="73" t="n">
        <v>2012</v>
      </c>
      <c r="D52" s="73" t="n">
        <v>2013</v>
      </c>
      <c r="E52" s="73" t="n">
        <v>2014</v>
      </c>
      <c r="F52" s="73" t="n">
        <v>2015</v>
      </c>
    </row>
    <row r="53" customFormat="false" ht="15" hidden="false" customHeight="true" outlineLevel="0" collapsed="false">
      <c r="A53" s="57" t="s">
        <v>74</v>
      </c>
      <c r="C53" s="64" t="n">
        <f aca="false">C$18+$B$40*C$24+$D$40*C$31</f>
        <v>7.819</v>
      </c>
      <c r="D53" s="64" t="n">
        <f aca="false">D$18+$B$40*D$24+$D$40*D$31</f>
        <v>8.835</v>
      </c>
      <c r="E53" s="64" t="n">
        <f aca="false">E$18+$B$40*E$24+$D$40*E$31</f>
        <v>9.807</v>
      </c>
      <c r="F53" s="64" t="n">
        <f aca="false">F$18+$B$40*F$24+$D$40*F$31</f>
        <v>10.69</v>
      </c>
    </row>
    <row r="54" customFormat="false" ht="15" hidden="false" customHeight="true" outlineLevel="0" collapsed="false">
      <c r="A54" s="57" t="s">
        <v>75</v>
      </c>
      <c r="C54" s="64" t="n">
        <f aca="false">C$19+$B$40*C$29+$D$40*C$34-$C$40*C$36</f>
        <v>3.237</v>
      </c>
      <c r="D54" s="64" t="n">
        <f aca="false">D$19+$B$40*D$29+$D$40*D$34-$C$40*D$36</f>
        <v>3.582</v>
      </c>
      <c r="E54" s="64" t="n">
        <f aca="false">E$19+$B$40*E$29+$D$40*E$34-$C$40*E$36</f>
        <v>3.894</v>
      </c>
      <c r="F54" s="64" t="n">
        <f aca="false">F$19+$B$40*F$29+$D$40*F$34-$C$40*F$36</f>
        <v>4.124</v>
      </c>
    </row>
    <row r="55" customFormat="false" ht="15" hidden="false" customHeight="true" outlineLevel="0" collapsed="false">
      <c r="A55" s="57" t="s">
        <v>76</v>
      </c>
      <c r="C55" s="64" t="n">
        <f aca="false">(C53-C54)*(1-Supuestos!$B$5)</f>
        <v>3.34486</v>
      </c>
      <c r="D55" s="64" t="n">
        <f aca="false">(D53-D54)*(1-Supuestos!$B$5)</f>
        <v>3.83469</v>
      </c>
      <c r="E55" s="64" t="n">
        <f aca="false">(E53-E54)*(1-Supuestos!$B$5)</f>
        <v>4.31649</v>
      </c>
      <c r="F55" s="64" t="n">
        <f aca="false">(F53-F54)*(1-Supuestos!$B$5)</f>
        <v>4.79318</v>
      </c>
    </row>
    <row r="56" customFormat="false" ht="15" hidden="false" customHeight="true" outlineLevel="0" collapsed="false">
      <c r="A56" s="57" t="s">
        <v>81</v>
      </c>
      <c r="B56" s="64" t="n">
        <f aca="false">$B$22+$C$40*$B$12+$D$40*Supuestos!$B$14</f>
        <v>17.198</v>
      </c>
      <c r="C56" s="64" t="n">
        <f aca="false">B56+C55</f>
        <v>20.54286</v>
      </c>
      <c r="D56" s="64" t="n">
        <f aca="false">C56+D55</f>
        <v>24.37755</v>
      </c>
      <c r="E56" s="64" t="n">
        <f aca="false">D56+E55</f>
        <v>28.69404</v>
      </c>
      <c r="F56" s="64" t="n">
        <f aca="false">E56+F55</f>
        <v>33.48722</v>
      </c>
    </row>
    <row r="57" customFormat="false" ht="15" hidden="false" customHeight="true" outlineLevel="0" collapsed="false">
      <c r="A57" s="57" t="s">
        <v>77</v>
      </c>
      <c r="C57" s="64" t="n">
        <f aca="false">C$20+$B$40*(C$25+C$26)+$D$40*(C$32+$B$7)</f>
        <v>67.874</v>
      </c>
      <c r="D57" s="64" t="n">
        <f aca="false">D$20+$B$40*(D$25+D$26)+$D$40*(D$32+$B$7)</f>
        <v>76.697</v>
      </c>
      <c r="E57" s="64" t="n">
        <f aca="false">E$20+$B$40*(E$25+E$26)+$D$40*(E$32+$B$7)</f>
        <v>85.134</v>
      </c>
      <c r="F57" s="64" t="n">
        <f aca="false">F$20+$B$40*(F$25+F$26)+$D$40*(F$32+$B$7)</f>
        <v>92.797</v>
      </c>
    </row>
    <row r="58" customFormat="false" ht="15" hidden="false" customHeight="true" outlineLevel="0" collapsed="false">
      <c r="A58" s="57" t="s">
        <v>175</v>
      </c>
      <c r="C58" s="64" t="n">
        <f aca="false">C$21+$B$40*C$27+$D$40*C$33</f>
        <v>6.02099999999999</v>
      </c>
      <c r="D58" s="64" t="n">
        <f aca="false">D$21+$B$40*D$27+$D$40*D$33</f>
        <v>6.804</v>
      </c>
      <c r="E58" s="64" t="n">
        <f aca="false">E$21+$B$40*E$27+$D$40*E$33</f>
        <v>7.552</v>
      </c>
      <c r="F58" s="64" t="n">
        <f aca="false">F$21+$B$40*F$27+$D$40*F$33</f>
        <v>8.231</v>
      </c>
    </row>
    <row r="59" customFormat="false" ht="15" hidden="false" customHeight="true" outlineLevel="0" collapsed="false">
      <c r="A59" s="57" t="s">
        <v>212</v>
      </c>
      <c r="C59" s="64" t="n">
        <f aca="false">C57-C56-C58</f>
        <v>41.31014</v>
      </c>
      <c r="D59" s="64" t="n">
        <f aca="false">D57-D56-D58</f>
        <v>45.51545</v>
      </c>
      <c r="E59" s="64" t="n">
        <f aca="false">E57-E56-E58</f>
        <v>48.88796</v>
      </c>
      <c r="F59" s="64" t="n">
        <f aca="false">F57-F56-F58</f>
        <v>51.07878</v>
      </c>
    </row>
    <row r="60" customFormat="false" ht="15" hidden="false" customHeight="true" outlineLevel="0" collapsed="false">
      <c r="A60" s="57" t="s">
        <v>84</v>
      </c>
      <c r="C60" s="68" t="n">
        <f aca="false">C59/C57</f>
        <v>0.608629814067242</v>
      </c>
      <c r="D60" s="68" t="n">
        <f aca="false">D59/D57</f>
        <v>0.593444984810358</v>
      </c>
      <c r="E60" s="68" t="n">
        <f aca="false">E59/E57</f>
        <v>0.574247186787887</v>
      </c>
      <c r="F60" s="68" t="n">
        <f aca="false">F59/F57</f>
        <v>0.550435682188002</v>
      </c>
    </row>
    <row r="61" customFormat="false" ht="15" hidden="false" customHeight="true" outlineLevel="0" collapsed="false">
      <c r="A61" s="57" t="s">
        <v>87</v>
      </c>
      <c r="C61" s="69" t="n">
        <f aca="false">C57/C56</f>
        <v>3.30401901195841</v>
      </c>
      <c r="D61" s="69" t="n">
        <f aca="false">D57/D56</f>
        <v>3.1462144473091</v>
      </c>
      <c r="E61" s="69" t="n">
        <f aca="false">E57/E56</f>
        <v>2.96695759816324</v>
      </c>
      <c r="F61" s="69" t="n">
        <f aca="false">F57/F56</f>
        <v>2.77111686189537</v>
      </c>
    </row>
    <row r="62" customFormat="false" ht="15" hidden="false" customHeight="true" outlineLevel="0" collapsed="false">
      <c r="A62" s="57" t="s">
        <v>88</v>
      </c>
      <c r="C62" s="69" t="n">
        <f aca="false">C53/C54</f>
        <v>2.41550818659252</v>
      </c>
      <c r="D62" s="69" t="n">
        <f aca="false">D53/D54</f>
        <v>2.46649916247906</v>
      </c>
      <c r="E62" s="69" t="n">
        <f aca="false">E53/E54</f>
        <v>2.51848998459168</v>
      </c>
      <c r="F62" s="69" t="n">
        <f aca="false">F53/F54</f>
        <v>2.5921435499515</v>
      </c>
    </row>
    <row r="63" customFormat="false" ht="15" hidden="false" customHeight="true" outlineLevel="0" collapsed="false">
      <c r="A63" s="57" t="s">
        <v>213</v>
      </c>
      <c r="C63" s="74" t="n">
        <f aca="false">$B$9+$C$40*$B$10+$D$40*$B$11</f>
        <v>1.165327</v>
      </c>
      <c r="D63" s="74" t="n">
        <f aca="false">$B$9+$C$40*$B$10+$D$40*$B$11</f>
        <v>1.165327</v>
      </c>
      <c r="E63" s="74" t="n">
        <f aca="false">$B$9+$C$40*$B$10+$D$40*$B$11</f>
        <v>1.165327</v>
      </c>
      <c r="F63" s="74" t="n">
        <f aca="false">$B$9+$C$40*$B$10+$D$40*$B$11</f>
        <v>1.165327</v>
      </c>
    </row>
    <row r="64" customFormat="false" ht="15" hidden="false" customHeight="true" outlineLevel="0" collapsed="false">
      <c r="A64" s="57" t="s">
        <v>214</v>
      </c>
      <c r="C64" s="71" t="n">
        <f aca="false">C55/C63</f>
        <v>2.87031880322004</v>
      </c>
      <c r="D64" s="71" t="n">
        <f aca="false">D55/D63</f>
        <v>3.29065575585222</v>
      </c>
      <c r="E64" s="71" t="n">
        <f aca="false">E55/E63</f>
        <v>3.70410193876912</v>
      </c>
      <c r="F64" s="71" t="n">
        <f aca="false">F55/F63</f>
        <v>4.11316308641266</v>
      </c>
    </row>
    <row r="65" customFormat="false" ht="15" hidden="false" customHeight="true" outlineLevel="0" collapsed="false">
      <c r="A65" s="57" t="s">
        <v>215</v>
      </c>
      <c r="C65" s="75" t="str">
        <f aca="false">IF(AND(C60&lt;=Supuestos!$B$18,C61&lt;=Supuestos!$B$19),"Cumple","No cumple")</f>
        <v>No cumple</v>
      </c>
      <c r="D65" s="75" t="str">
        <f aca="false">IF(AND(D60&lt;=Supuestos!$B$18,D61&lt;=Supuestos!$B$19),"Cumple","No cumple")</f>
        <v>No cumple</v>
      </c>
      <c r="E65" s="75" t="str">
        <f aca="false">IF(AND(E60&lt;=Supuestos!$B$18,E61&lt;=Supuestos!$B$19),"Cumple","No cumple")</f>
        <v>No cumple</v>
      </c>
      <c r="F65" s="75" t="str">
        <f aca="false">IF(AND(F60&lt;=Supuestos!$B$18,F61&lt;=Supuestos!$B$19),"Cumple","No cumple")</f>
        <v>No cumple</v>
      </c>
    </row>
    <row r="67" customFormat="false" ht="15" hidden="false" customHeight="true" outlineLevel="0" collapsed="false">
      <c r="A67" s="63" t="str">
        <f aca="false">A41&amp;"   (TV="&amp;B41&amp;", Emisión="&amp;C41&amp;", HCS="&amp;D41&amp;")"</f>
        <v>2. Solo TV   (TV=1, Emisión=0, HCS=0)</v>
      </c>
      <c r="B67" s="73" t="n">
        <v>2011</v>
      </c>
      <c r="C67" s="73" t="n">
        <v>2012</v>
      </c>
      <c r="D67" s="73" t="n">
        <v>2013</v>
      </c>
      <c r="E67" s="73" t="n">
        <v>2014</v>
      </c>
      <c r="F67" s="73" t="n">
        <v>2015</v>
      </c>
    </row>
    <row r="68" customFormat="false" ht="15" hidden="false" customHeight="true" outlineLevel="0" collapsed="false">
      <c r="A68" s="57" t="s">
        <v>74</v>
      </c>
      <c r="C68" s="64" t="n">
        <f aca="false">C$18+$B$41*C$24+$D$41*C$31</f>
        <v>9.2415</v>
      </c>
      <c r="D68" s="64" t="n">
        <f aca="false">D$18+$B$41*D$24+$D$41*D$31</f>
        <v>10.343025</v>
      </c>
      <c r="E68" s="64" t="n">
        <f aca="false">E$18+$B$41*E$24+$D$41*E$31</f>
        <v>11.40482625</v>
      </c>
      <c r="F68" s="64" t="n">
        <f aca="false">F$18+$B$41*F$24+$D$41*F$31</f>
        <v>12.3821175625</v>
      </c>
    </row>
    <row r="69" customFormat="false" ht="15" hidden="false" customHeight="true" outlineLevel="0" collapsed="false">
      <c r="A69" s="57" t="s">
        <v>75</v>
      </c>
      <c r="C69" s="64" t="n">
        <f aca="false">C$19+$B$41*C$29+$D$41*C$34-$C$41*C$36</f>
        <v>3.3558</v>
      </c>
      <c r="D69" s="64" t="n">
        <f aca="false">D$19+$B$41*D$29+$D$41*D$34-$C$41*D$36</f>
        <v>3.79428221917808</v>
      </c>
      <c r="E69" s="64" t="n">
        <f aca="false">E$19+$B$41*E$29+$D$41*E$34-$C$41*E$36</f>
        <v>4.00184702763699</v>
      </c>
      <c r="F69" s="64" t="n">
        <f aca="false">F$19+$B$41*F$29+$D$41*F$34-$C$41*F$36</f>
        <v>4.124</v>
      </c>
    </row>
    <row r="70" customFormat="false" ht="15" hidden="false" customHeight="true" outlineLevel="0" collapsed="false">
      <c r="A70" s="57" t="s">
        <v>76</v>
      </c>
      <c r="C70" s="64" t="n">
        <f aca="false">(C68-C69)*(1-Supuestos!$B$5)</f>
        <v>4.296561</v>
      </c>
      <c r="D70" s="64" t="n">
        <f aca="false">(D68-D69)*(1-Supuestos!$B$5)</f>
        <v>4.78058223</v>
      </c>
      <c r="E70" s="64" t="n">
        <f aca="false">(E68-E69)*(1-Supuestos!$B$5)</f>
        <v>5.404174832325</v>
      </c>
      <c r="F70" s="64" t="n">
        <f aca="false">(F68-F69)*(1-Supuestos!$B$5)</f>
        <v>6.028425820625</v>
      </c>
    </row>
    <row r="71" customFormat="false" ht="15" hidden="false" customHeight="true" outlineLevel="0" collapsed="false">
      <c r="A71" s="57" t="s">
        <v>81</v>
      </c>
      <c r="B71" s="64" t="n">
        <f aca="false">$B$22+$C$41*$B$12+$D$41*Supuestos!$B$14</f>
        <v>17.198</v>
      </c>
      <c r="C71" s="64" t="n">
        <f aca="false">B71+C70</f>
        <v>21.494561</v>
      </c>
      <c r="D71" s="64" t="n">
        <f aca="false">C71+D70</f>
        <v>26.27514323</v>
      </c>
      <c r="E71" s="64" t="n">
        <f aca="false">D71+E70</f>
        <v>31.679318062325</v>
      </c>
      <c r="F71" s="64" t="n">
        <f aca="false">E71+F70</f>
        <v>37.70774388295</v>
      </c>
    </row>
    <row r="72" customFormat="false" ht="15" hidden="false" customHeight="true" outlineLevel="0" collapsed="false">
      <c r="A72" s="57" t="s">
        <v>77</v>
      </c>
      <c r="C72" s="64" t="n">
        <f aca="false">C$20+$B$41*(C$25+C$26)+$D$41*(C$32+$B$7)</f>
        <v>71.8750085616438</v>
      </c>
      <c r="D72" s="64" t="n">
        <f aca="false">D$20+$B$41*(D$25+D$26)+$D$41*(D$32+$B$7)</f>
        <v>80.552458989726</v>
      </c>
      <c r="E72" s="64" t="n">
        <f aca="false">E$20+$B$41*(E$25+E$26)+$D$41*(E$32+$B$7)</f>
        <v>88.8510319392123</v>
      </c>
      <c r="F72" s="64" t="n">
        <f aca="false">F$20+$B$41*(F$25+F$26)+$D$41*(F$32+$B$7)</f>
        <v>96.383083536173</v>
      </c>
    </row>
    <row r="73" customFormat="false" ht="15" hidden="false" customHeight="true" outlineLevel="0" collapsed="false">
      <c r="A73" s="57" t="s">
        <v>175</v>
      </c>
      <c r="C73" s="64" t="n">
        <f aca="false">C$21+$B$41*C$27+$D$41*C$33</f>
        <v>6.41046575342465</v>
      </c>
      <c r="D73" s="64" t="n">
        <f aca="false">D$21+$B$41*D$27+$D$41*D$33</f>
        <v>7.21293904109589</v>
      </c>
      <c r="E73" s="64" t="n">
        <f aca="false">E$21+$B$41*E$27+$D$41*E$33</f>
        <v>7.98138599315069</v>
      </c>
      <c r="F73" s="64" t="n">
        <f aca="false">F$21+$B$41*F$27+$D$41*F$33</f>
        <v>8.68185529280821</v>
      </c>
    </row>
    <row r="74" customFormat="false" ht="15" hidden="false" customHeight="true" outlineLevel="0" collapsed="false">
      <c r="A74" s="57" t="s">
        <v>212</v>
      </c>
      <c r="C74" s="64" t="n">
        <f aca="false">C72-C71-C73</f>
        <v>43.9699818082192</v>
      </c>
      <c r="D74" s="64" t="n">
        <f aca="false">D72-D71-D73</f>
        <v>47.0643767186301</v>
      </c>
      <c r="E74" s="64" t="n">
        <f aca="false">E72-E71-E73</f>
        <v>49.1903278837366</v>
      </c>
      <c r="F74" s="64" t="n">
        <f aca="false">F72-F71-F73</f>
        <v>49.9934843604147</v>
      </c>
    </row>
    <row r="75" customFormat="false" ht="15" hidden="false" customHeight="true" outlineLevel="0" collapsed="false">
      <c r="A75" s="57" t="s">
        <v>84</v>
      </c>
      <c r="C75" s="68" t="n">
        <f aca="false">C74/C72</f>
        <v>0.611756195764598</v>
      </c>
      <c r="D75" s="68" t="n">
        <f aca="false">D74/D72</f>
        <v>0.584269894537086</v>
      </c>
      <c r="E75" s="68" t="n">
        <f aca="false">E74/E72</f>
        <v>0.553626973262284</v>
      </c>
      <c r="F75" s="68" t="n">
        <f aca="false">F74/F72</f>
        <v>0.518695631289405</v>
      </c>
    </row>
    <row r="76" customFormat="false" ht="15" hidden="false" customHeight="true" outlineLevel="0" collapsed="false">
      <c r="A76" s="57" t="s">
        <v>87</v>
      </c>
      <c r="C76" s="69" t="n">
        <f aca="false">C72/C71</f>
        <v>3.34386957526808</v>
      </c>
      <c r="D76" s="69" t="n">
        <f aca="false">D72/D71</f>
        <v>3.06572863503002</v>
      </c>
      <c r="E76" s="69" t="n">
        <f aca="false">E72/E71</f>
        <v>2.80470153317093</v>
      </c>
      <c r="F76" s="69" t="n">
        <f aca="false">F72/F71</f>
        <v>2.55605543082501</v>
      </c>
    </row>
    <row r="77" customFormat="false" ht="15" hidden="false" customHeight="true" outlineLevel="0" collapsed="false">
      <c r="A77" s="57" t="s">
        <v>88</v>
      </c>
      <c r="C77" s="69" t="n">
        <f aca="false">C68/C69</f>
        <v>2.75388878955838</v>
      </c>
      <c r="D77" s="69" t="n">
        <f aca="false">D68/D69</f>
        <v>2.72595036492581</v>
      </c>
      <c r="E77" s="69" t="n">
        <f aca="false">E68/E69</f>
        <v>2.84989060582216</v>
      </c>
      <c r="F77" s="69" t="n">
        <f aca="false">F68/F69</f>
        <v>3.00245333717265</v>
      </c>
    </row>
    <row r="78" customFormat="false" ht="15" hidden="false" customHeight="true" outlineLevel="0" collapsed="false">
      <c r="A78" s="57" t="s">
        <v>213</v>
      </c>
      <c r="C78" s="74" t="n">
        <f aca="false">$B$9+$C$41*$B$10+$D$41*$B$11</f>
        <v>1.165327</v>
      </c>
      <c r="D78" s="74" t="n">
        <f aca="false">$B$9+$C$41*$B$10+$D$41*$B$11</f>
        <v>1.165327</v>
      </c>
      <c r="E78" s="74" t="n">
        <f aca="false">$B$9+$C$41*$B$10+$D$41*$B$11</f>
        <v>1.165327</v>
      </c>
      <c r="F78" s="74" t="n">
        <f aca="false">$B$9+$C$41*$B$10+$D$41*$B$11</f>
        <v>1.165327</v>
      </c>
    </row>
    <row r="79" customFormat="false" ht="15" hidden="false" customHeight="true" outlineLevel="0" collapsed="false">
      <c r="A79" s="57" t="s">
        <v>214</v>
      </c>
      <c r="C79" s="71" t="n">
        <f aca="false">C70/C78</f>
        <v>3.68700030120301</v>
      </c>
      <c r="D79" s="71" t="n">
        <f aca="false">D70/D78</f>
        <v>4.10235258429608</v>
      </c>
      <c r="E79" s="71" t="n">
        <f aca="false">E70/E78</f>
        <v>4.63747500257438</v>
      </c>
      <c r="F79" s="71" t="n">
        <f aca="false">F70/F78</f>
        <v>5.1731624004464</v>
      </c>
    </row>
    <row r="80" customFormat="false" ht="15" hidden="false" customHeight="true" outlineLevel="0" collapsed="false">
      <c r="A80" s="57" t="s">
        <v>215</v>
      </c>
      <c r="C80" s="75" t="str">
        <f aca="false">IF(AND(C75&lt;=Supuestos!$B$18,C76&lt;=Supuestos!$B$19),"Cumple","No cumple")</f>
        <v>No cumple</v>
      </c>
      <c r="D80" s="75" t="str">
        <f aca="false">IF(AND(D75&lt;=Supuestos!$B$18,D76&lt;=Supuestos!$B$19),"Cumple","No cumple")</f>
        <v>No cumple</v>
      </c>
      <c r="E80" s="75" t="str">
        <f aca="false">IF(AND(E75&lt;=Supuestos!$B$18,E76&lt;=Supuestos!$B$19),"Cumple","No cumple")</f>
        <v>No cumple</v>
      </c>
      <c r="F80" s="75" t="str">
        <f aca="false">IF(AND(F75&lt;=Supuestos!$B$18,F76&lt;=Supuestos!$B$19),"Cumple","No cumple")</f>
        <v>Cumple</v>
      </c>
    </row>
    <row r="82" customFormat="false" ht="15" hidden="false" customHeight="true" outlineLevel="0" collapsed="false">
      <c r="A82" s="63" t="str">
        <f aca="false">A42&amp;"   (TV="&amp;B42&amp;", Emisión="&amp;C42&amp;", HCS="&amp;D42&amp;")"</f>
        <v>3. Solo emisión   (TV=0, Emisión=1, HCS=0)</v>
      </c>
      <c r="B82" s="73" t="n">
        <v>2011</v>
      </c>
      <c r="C82" s="73" t="n">
        <v>2012</v>
      </c>
      <c r="D82" s="73" t="n">
        <v>2013</v>
      </c>
      <c r="E82" s="73" t="n">
        <v>2014</v>
      </c>
      <c r="F82" s="73" t="n">
        <v>2015</v>
      </c>
    </row>
    <row r="83" customFormat="false" ht="15" hidden="false" customHeight="true" outlineLevel="0" collapsed="false">
      <c r="A83" s="57" t="s">
        <v>74</v>
      </c>
      <c r="C83" s="64" t="n">
        <f aca="false">C$18+$B$42*C$24+$D$42*C$31</f>
        <v>7.819</v>
      </c>
      <c r="D83" s="64" t="n">
        <f aca="false">D$18+$B$42*D$24+$D$42*D$31</f>
        <v>8.835</v>
      </c>
      <c r="E83" s="64" t="n">
        <f aca="false">E$18+$B$42*E$24+$D$42*E$31</f>
        <v>9.807</v>
      </c>
      <c r="F83" s="64" t="n">
        <f aca="false">F$18+$B$42*F$24+$D$42*F$31</f>
        <v>10.69</v>
      </c>
    </row>
    <row r="84" customFormat="false" ht="15" hidden="false" customHeight="true" outlineLevel="0" collapsed="false">
      <c r="A84" s="57" t="s">
        <v>75</v>
      </c>
      <c r="C84" s="64" t="n">
        <f aca="false">C$19+$B$42*C$29+$D$42*C$34-$C$42*C$36</f>
        <v>2.3295</v>
      </c>
      <c r="D84" s="64" t="n">
        <f aca="false">D$19+$B$42*D$29+$D$42*D$34-$C$42*D$36</f>
        <v>2.6745</v>
      </c>
      <c r="E84" s="64" t="n">
        <f aca="false">E$19+$B$42*E$29+$D$42*E$34-$C$42*E$36</f>
        <v>2.9865</v>
      </c>
      <c r="F84" s="64" t="n">
        <f aca="false">F$19+$B$42*F$29+$D$42*F$34-$C$42*F$36</f>
        <v>3.2165</v>
      </c>
    </row>
    <row r="85" customFormat="false" ht="15" hidden="false" customHeight="true" outlineLevel="0" collapsed="false">
      <c r="A85" s="57" t="s">
        <v>76</v>
      </c>
      <c r="C85" s="64" t="n">
        <f aca="false">(C83-C84)*(1-Supuestos!$B$5)</f>
        <v>4.007335</v>
      </c>
      <c r="D85" s="64" t="n">
        <f aca="false">(D83-D84)*(1-Supuestos!$B$5)</f>
        <v>4.497165</v>
      </c>
      <c r="E85" s="64" t="n">
        <f aca="false">(E83-E84)*(1-Supuestos!$B$5)</f>
        <v>4.978965</v>
      </c>
      <c r="F85" s="64" t="n">
        <f aca="false">(F83-F84)*(1-Supuestos!$B$5)</f>
        <v>5.455655</v>
      </c>
    </row>
    <row r="86" customFormat="false" ht="15" hidden="false" customHeight="true" outlineLevel="0" collapsed="false">
      <c r="A86" s="57" t="s">
        <v>81</v>
      </c>
      <c r="B86" s="64" t="n">
        <f aca="false">$B$22+$C$42*$B$12+$D$42*Supuestos!$B$14</f>
        <v>28.198</v>
      </c>
      <c r="C86" s="64" t="n">
        <f aca="false">B86+C85</f>
        <v>32.205335</v>
      </c>
      <c r="D86" s="64" t="n">
        <f aca="false">C86+D85</f>
        <v>36.7025</v>
      </c>
      <c r="E86" s="64" t="n">
        <f aca="false">D86+E85</f>
        <v>41.681465</v>
      </c>
      <c r="F86" s="64" t="n">
        <f aca="false">E86+F85</f>
        <v>47.13712</v>
      </c>
    </row>
    <row r="87" customFormat="false" ht="15" hidden="false" customHeight="true" outlineLevel="0" collapsed="false">
      <c r="A87" s="57" t="s">
        <v>77</v>
      </c>
      <c r="C87" s="64" t="n">
        <f aca="false">C$20+$B$42*(C$25+C$26)+$D$42*(C$32+$B$7)</f>
        <v>67.874</v>
      </c>
      <c r="D87" s="64" t="n">
        <f aca="false">D$20+$B$42*(D$25+D$26)+$D$42*(D$32+$B$7)</f>
        <v>76.697</v>
      </c>
      <c r="E87" s="64" t="n">
        <f aca="false">E$20+$B$42*(E$25+E$26)+$D$42*(E$32+$B$7)</f>
        <v>85.134</v>
      </c>
      <c r="F87" s="64" t="n">
        <f aca="false">F$20+$B$42*(F$25+F$26)+$D$42*(F$32+$B$7)</f>
        <v>92.797</v>
      </c>
    </row>
    <row r="88" customFormat="false" ht="15" hidden="false" customHeight="true" outlineLevel="0" collapsed="false">
      <c r="A88" s="57" t="s">
        <v>175</v>
      </c>
      <c r="C88" s="64" t="n">
        <f aca="false">C$21+$B$42*C$27+$D$42*C$33</f>
        <v>6.02099999999999</v>
      </c>
      <c r="D88" s="64" t="n">
        <f aca="false">D$21+$B$42*D$27+$D$42*D$33</f>
        <v>6.804</v>
      </c>
      <c r="E88" s="64" t="n">
        <f aca="false">E$21+$B$42*E$27+$D$42*E$33</f>
        <v>7.552</v>
      </c>
      <c r="F88" s="64" t="n">
        <f aca="false">F$21+$B$42*F$27+$D$42*F$33</f>
        <v>8.231</v>
      </c>
    </row>
    <row r="89" customFormat="false" ht="15" hidden="false" customHeight="true" outlineLevel="0" collapsed="false">
      <c r="A89" s="57" t="s">
        <v>212</v>
      </c>
      <c r="C89" s="64" t="n">
        <f aca="false">C87-C86-C88</f>
        <v>29.647665</v>
      </c>
      <c r="D89" s="64" t="n">
        <f aca="false">D87-D86-D88</f>
        <v>33.1905</v>
      </c>
      <c r="E89" s="64" t="n">
        <f aca="false">E87-E86-E88</f>
        <v>35.900535</v>
      </c>
      <c r="F89" s="64" t="n">
        <f aca="false">F87-F86-F88</f>
        <v>37.42888</v>
      </c>
    </row>
    <row r="90" customFormat="false" ht="15" hidden="false" customHeight="true" outlineLevel="0" collapsed="false">
      <c r="A90" s="57" t="s">
        <v>84</v>
      </c>
      <c r="C90" s="68" t="n">
        <f aca="false">C89/C87</f>
        <v>0.43680444647435</v>
      </c>
      <c r="D90" s="68" t="n">
        <f aca="false">D89/D87</f>
        <v>0.432748347392988</v>
      </c>
      <c r="E90" s="68" t="n">
        <f aca="false">E89/E87</f>
        <v>0.421694446402143</v>
      </c>
      <c r="F90" s="68" t="n">
        <f aca="false">F89/F87</f>
        <v>0.403341487332565</v>
      </c>
    </row>
    <row r="91" customFormat="false" ht="15" hidden="false" customHeight="true" outlineLevel="0" collapsed="false">
      <c r="A91" s="57" t="s">
        <v>87</v>
      </c>
      <c r="C91" s="69" t="n">
        <f aca="false">C87/C86</f>
        <v>2.10753901488682</v>
      </c>
      <c r="D91" s="69" t="n">
        <f aca="false">D87/D86</f>
        <v>2.08969416252299</v>
      </c>
      <c r="E91" s="69" t="n">
        <f aca="false">E87/E86</f>
        <v>2.0424905890424</v>
      </c>
      <c r="F91" s="69" t="n">
        <f aca="false">F87/F86</f>
        <v>1.96866079217398</v>
      </c>
    </row>
    <row r="92" customFormat="false" ht="15" hidden="false" customHeight="true" outlineLevel="0" collapsed="false">
      <c r="A92" s="57" t="s">
        <v>88</v>
      </c>
      <c r="C92" s="69" t="n">
        <f aca="false">C83/C84</f>
        <v>3.35651427344924</v>
      </c>
      <c r="D92" s="69" t="n">
        <f aca="false">D83/D84</f>
        <v>3.30342120022434</v>
      </c>
      <c r="E92" s="69" t="n">
        <f aca="false">E83/E84</f>
        <v>3.28377699648418</v>
      </c>
      <c r="F92" s="69" t="n">
        <f aca="false">F83/F84</f>
        <v>3.3234882636406</v>
      </c>
    </row>
    <row r="93" customFormat="false" ht="15" hidden="false" customHeight="true" outlineLevel="0" collapsed="false">
      <c r="A93" s="57" t="s">
        <v>213</v>
      </c>
      <c r="C93" s="74" t="n">
        <f aca="false">$B$9+$C$42*$B$10+$D$42*$B$11</f>
        <v>1.565327</v>
      </c>
      <c r="D93" s="74" t="n">
        <f aca="false">$B$9+$C$42*$B$10+$D$42*$B$11</f>
        <v>1.565327</v>
      </c>
      <c r="E93" s="74" t="n">
        <f aca="false">$B$9+$C$42*$B$10+$D$42*$B$11</f>
        <v>1.565327</v>
      </c>
      <c r="F93" s="74" t="n">
        <f aca="false">$B$9+$C$42*$B$10+$D$42*$B$11</f>
        <v>1.565327</v>
      </c>
    </row>
    <row r="94" customFormat="false" ht="15" hidden="false" customHeight="true" outlineLevel="0" collapsed="false">
      <c r="A94" s="57" t="s">
        <v>214</v>
      </c>
      <c r="C94" s="71" t="n">
        <f aca="false">C85/C93</f>
        <v>2.5600625300656</v>
      </c>
      <c r="D94" s="71" t="n">
        <f aca="false">D85/D93</f>
        <v>2.87298756106552</v>
      </c>
      <c r="E94" s="71" t="n">
        <f aca="false">E85/E93</f>
        <v>3.18078267352445</v>
      </c>
      <c r="F94" s="71" t="n">
        <f aca="false">F85/F93</f>
        <v>3.48531329236639</v>
      </c>
    </row>
    <row r="95" customFormat="false" ht="15" hidden="false" customHeight="true" outlineLevel="0" collapsed="false">
      <c r="A95" s="57" t="s">
        <v>215</v>
      </c>
      <c r="C95" s="75" t="str">
        <f aca="false">IF(AND(C90&lt;=Supuestos!$B$18,C91&lt;=Supuestos!$B$19),"Cumple","No cumple")</f>
        <v>Cumple</v>
      </c>
      <c r="D95" s="75" t="str">
        <f aca="false">IF(AND(D90&lt;=Supuestos!$B$18,D91&lt;=Supuestos!$B$19),"Cumple","No cumple")</f>
        <v>Cumple</v>
      </c>
      <c r="E95" s="75" t="str">
        <f aca="false">IF(AND(E90&lt;=Supuestos!$B$18,E91&lt;=Supuestos!$B$19),"Cumple","No cumple")</f>
        <v>Cumple</v>
      </c>
      <c r="F95" s="75" t="str">
        <f aca="false">IF(AND(F90&lt;=Supuestos!$B$18,F91&lt;=Supuestos!$B$19),"Cumple","No cumple")</f>
        <v>Cumple</v>
      </c>
    </row>
    <row r="97" customFormat="false" ht="15" hidden="false" customHeight="true" outlineLevel="0" collapsed="false">
      <c r="A97" s="63" t="str">
        <f aca="false">A43&amp;"   (TV="&amp;B43&amp;", Emisión="&amp;C43&amp;", HCS="&amp;D43&amp;")"</f>
        <v>4. Solo HCS   (TV=0, Emisión=0, HCS=1)</v>
      </c>
      <c r="B97" s="73" t="n">
        <v>2011</v>
      </c>
      <c r="C97" s="73" t="n">
        <v>2012</v>
      </c>
      <c r="D97" s="73" t="n">
        <v>2013</v>
      </c>
      <c r="E97" s="73" t="n">
        <v>2014</v>
      </c>
      <c r="F97" s="73" t="n">
        <v>2015</v>
      </c>
    </row>
    <row r="98" customFormat="false" ht="15" hidden="false" customHeight="true" outlineLevel="0" collapsed="false">
      <c r="A98" s="57" t="s">
        <v>74</v>
      </c>
      <c r="C98" s="64" t="n">
        <f aca="false">C$18+$B$43*C$24+$D$43*C$31</f>
        <v>9.20971752</v>
      </c>
      <c r="D98" s="64" t="n">
        <f aca="false">D$18+$B$43*D$24+$D$43*D$31</f>
        <v>10.5083714592</v>
      </c>
      <c r="E98" s="64" t="n">
        <f aca="false">E$18+$B$43*E$24+$D$43*E$31</f>
        <v>11.56404003216</v>
      </c>
      <c r="F98" s="64" t="n">
        <f aca="false">F$18+$B$43*F$24+$D$43*F$31</f>
        <v>12.5313779537037</v>
      </c>
    </row>
    <row r="99" customFormat="false" ht="15" hidden="false" customHeight="true" outlineLevel="0" collapsed="false">
      <c r="A99" s="57" t="s">
        <v>75</v>
      </c>
      <c r="C99" s="64" t="n">
        <f aca="false">C$19+$B$43*C$29+$D$43*C$34-$C$43*C$36</f>
        <v>3.437</v>
      </c>
      <c r="D99" s="64" t="n">
        <f aca="false">D$19+$B$43*D$29+$D$43*D$34-$C$43*D$36</f>
        <v>3.882</v>
      </c>
      <c r="E99" s="64" t="n">
        <f aca="false">E$19+$B$43*E$29+$D$43*E$34-$C$43*E$36</f>
        <v>4.294</v>
      </c>
      <c r="F99" s="64" t="n">
        <f aca="false">F$19+$B$43*F$29+$D$43*F$34-$C$43*F$36</f>
        <v>4.624</v>
      </c>
    </row>
    <row r="100" customFormat="false" ht="15" hidden="false" customHeight="true" outlineLevel="0" collapsed="false">
      <c r="A100" s="57" t="s">
        <v>76</v>
      </c>
      <c r="C100" s="64" t="n">
        <f aca="false">(C98-C99)*(1-Supuestos!$B$5)</f>
        <v>4.2140837896</v>
      </c>
      <c r="D100" s="64" t="n">
        <f aca="false">(D98-D99)*(1-Supuestos!$B$5)</f>
        <v>4.837251165216</v>
      </c>
      <c r="E100" s="64" t="n">
        <f aca="false">(E98-E99)*(1-Supuestos!$B$5)</f>
        <v>5.3071292234768</v>
      </c>
      <c r="F100" s="64" t="n">
        <f aca="false">(F98-F99)*(1-Supuestos!$B$5)</f>
        <v>5.77238590620369</v>
      </c>
    </row>
    <row r="101" customFormat="false" ht="15" hidden="false" customHeight="true" outlineLevel="0" collapsed="false">
      <c r="A101" s="57" t="s">
        <v>81</v>
      </c>
      <c r="B101" s="64" t="n">
        <f aca="false">$B$22+$C$43*$B$12+$D$43*Supuestos!$B$14</f>
        <v>30.398</v>
      </c>
      <c r="C101" s="64" t="n">
        <f aca="false">B101+C100</f>
        <v>34.6120837896</v>
      </c>
      <c r="D101" s="64" t="n">
        <f aca="false">C101+D100</f>
        <v>39.449334954816</v>
      </c>
      <c r="E101" s="64" t="n">
        <f aca="false">D101+E100</f>
        <v>44.7564641782928</v>
      </c>
      <c r="F101" s="64" t="n">
        <f aca="false">E101+F100</f>
        <v>50.5288500844965</v>
      </c>
    </row>
    <row r="102" customFormat="false" ht="15" hidden="false" customHeight="true" outlineLevel="0" collapsed="false">
      <c r="A102" s="57" t="s">
        <v>77</v>
      </c>
      <c r="C102" s="64" t="n">
        <f aca="false">C$20+$B$43*(C$25+C$26)+$D$43*(C$32+$B$7)</f>
        <v>84.8243459089041</v>
      </c>
      <c r="D102" s="64" t="n">
        <f aca="false">D$20+$B$43*(D$25+D$26)+$D$43*(D$32+$B$7)</f>
        <v>94.2954828323425</v>
      </c>
      <c r="E102" s="64" t="n">
        <f aca="false">E$20+$B$43*(E$25+E$26)+$D$43*(E$32+$B$7)</f>
        <v>103.43860697396</v>
      </c>
      <c r="F102" s="64" t="n">
        <f aca="false">F$20+$B$43*(F$25+F$26)+$D$43*(F$32+$B$7)</f>
        <v>111.81338010871</v>
      </c>
    </row>
    <row r="103" customFormat="false" ht="15" hidden="false" customHeight="true" outlineLevel="0" collapsed="false">
      <c r="A103" s="57" t="s">
        <v>175</v>
      </c>
      <c r="C103" s="64" t="n">
        <f aca="false">C$21+$B$43*C$27+$D$43*C$33</f>
        <v>7.28294356526027</v>
      </c>
      <c r="D103" s="64" t="n">
        <f aca="false">D$21+$B$43*D$27+$D$43*D$33</f>
        <v>8.09253968624439</v>
      </c>
      <c r="E103" s="64" t="n">
        <f aca="false">E$21+$B$43*E$27+$D$43*E$33</f>
        <v>8.9049666705566</v>
      </c>
      <c r="F103" s="64" t="n">
        <f aca="false">F$21+$B$43*F$27+$D$43*F$33</f>
        <v>9.64890907074332</v>
      </c>
    </row>
    <row r="104" customFormat="false" ht="15" hidden="false" customHeight="true" outlineLevel="0" collapsed="false">
      <c r="A104" s="57" t="s">
        <v>212</v>
      </c>
      <c r="C104" s="64" t="n">
        <f aca="false">C102-C101-C103</f>
        <v>42.9293185540438</v>
      </c>
      <c r="D104" s="64" t="n">
        <f aca="false">D102-D101-D103</f>
        <v>46.7536081912821</v>
      </c>
      <c r="E104" s="64" t="n">
        <f aca="false">E102-E101-E103</f>
        <v>49.7771761251102</v>
      </c>
      <c r="F104" s="64" t="n">
        <f aca="false">F102-F101-F103</f>
        <v>51.6356209534699</v>
      </c>
    </row>
    <row r="105" customFormat="false" ht="15" hidden="false" customHeight="true" outlineLevel="0" collapsed="false">
      <c r="A105" s="57" t="s">
        <v>84</v>
      </c>
      <c r="C105" s="68" t="n">
        <f aca="false">C104/C102</f>
        <v>0.506096664749377</v>
      </c>
      <c r="D105" s="68" t="n">
        <f aca="false">D104/D102</f>
        <v>0.495820232178142</v>
      </c>
      <c r="E105" s="68" t="n">
        <f aca="false">E104/E102</f>
        <v>0.481224347284969</v>
      </c>
      <c r="F105" s="68" t="n">
        <f aca="false">F104/F102</f>
        <v>0.461801806753964</v>
      </c>
    </row>
    <row r="106" customFormat="false" ht="15" hidden="false" customHeight="true" outlineLevel="0" collapsed="false">
      <c r="A106" s="57" t="s">
        <v>87</v>
      </c>
      <c r="C106" s="69" t="n">
        <f aca="false">C102/C101</f>
        <v>2.45071479730994</v>
      </c>
      <c r="D106" s="69" t="n">
        <f aca="false">D102/D101</f>
        <v>2.39029334563803</v>
      </c>
      <c r="E106" s="69" t="n">
        <f aca="false">E102/E101</f>
        <v>2.31114340404325</v>
      </c>
      <c r="F106" s="69" t="n">
        <f aca="false">F102/F101</f>
        <v>2.21286215541677</v>
      </c>
    </row>
    <row r="107" customFormat="false" ht="15" hidden="false" customHeight="true" outlineLevel="0" collapsed="false">
      <c r="A107" s="57" t="s">
        <v>88</v>
      </c>
      <c r="C107" s="69" t="n">
        <f aca="false">C98/C99</f>
        <v>2.6795803084085</v>
      </c>
      <c r="D107" s="69" t="n">
        <f aca="false">D98/D99</f>
        <v>2.70694782565688</v>
      </c>
      <c r="E107" s="69" t="n">
        <f aca="false">E98/E99</f>
        <v>2.69306940665114</v>
      </c>
      <c r="F107" s="69" t="n">
        <f aca="false">F98/F99</f>
        <v>2.71007308687363</v>
      </c>
    </row>
    <row r="108" customFormat="false" ht="15" hidden="false" customHeight="true" outlineLevel="0" collapsed="false">
      <c r="A108" s="57" t="s">
        <v>213</v>
      </c>
      <c r="C108" s="74" t="n">
        <f aca="false">$B$9+$C$43*$B$10+$D$43*$B$11</f>
        <v>1.570235</v>
      </c>
      <c r="D108" s="74" t="n">
        <f aca="false">$B$9+$C$43*$B$10+$D$43*$B$11</f>
        <v>1.570235</v>
      </c>
      <c r="E108" s="74" t="n">
        <f aca="false">$B$9+$C$43*$B$10+$D$43*$B$11</f>
        <v>1.570235</v>
      </c>
      <c r="F108" s="74" t="n">
        <f aca="false">$B$9+$C$43*$B$10+$D$43*$B$11</f>
        <v>1.570235</v>
      </c>
    </row>
    <row r="109" customFormat="false" ht="15" hidden="false" customHeight="true" outlineLevel="0" collapsed="false">
      <c r="A109" s="57" t="s">
        <v>214</v>
      </c>
      <c r="C109" s="71" t="n">
        <f aca="false">C100/C108</f>
        <v>2.6837280977688</v>
      </c>
      <c r="D109" s="71" t="n">
        <f aca="false">D100/D108</f>
        <v>3.0805905900811</v>
      </c>
      <c r="E109" s="71" t="n">
        <f aca="false">E100/E108</f>
        <v>3.37983118671842</v>
      </c>
      <c r="F109" s="71" t="n">
        <f aca="false">F100/F108</f>
        <v>3.67612867258957</v>
      </c>
    </row>
    <row r="110" customFormat="false" ht="15" hidden="false" customHeight="true" outlineLevel="0" collapsed="false">
      <c r="A110" s="57" t="s">
        <v>215</v>
      </c>
      <c r="C110" s="75" t="str">
        <f aca="false">IF(AND(C105&lt;=Supuestos!$B$18,C106&lt;=Supuestos!$B$19),"Cumple","No cumple")</f>
        <v>Cumple</v>
      </c>
      <c r="D110" s="75" t="str">
        <f aca="false">IF(AND(D105&lt;=Supuestos!$B$18,D106&lt;=Supuestos!$B$19),"Cumple","No cumple")</f>
        <v>Cumple</v>
      </c>
      <c r="E110" s="75" t="str">
        <f aca="false">IF(AND(E105&lt;=Supuestos!$B$18,E106&lt;=Supuestos!$B$19),"Cumple","No cumple")</f>
        <v>Cumple</v>
      </c>
      <c r="F110" s="75" t="str">
        <f aca="false">IF(AND(F105&lt;=Supuestos!$B$18,F106&lt;=Supuestos!$B$19),"Cumple","No cumple")</f>
        <v>Cumple</v>
      </c>
    </row>
    <row r="112" customFormat="false" ht="15" hidden="false" customHeight="true" outlineLevel="0" collapsed="false">
      <c r="A112" s="63" t="str">
        <f aca="false">A44&amp;"   (TV="&amp;B44&amp;", Emisión="&amp;C44&amp;", HCS="&amp;D44&amp;")"</f>
        <v>5. TV + emisión   (TV=1, Emisión=1, HCS=0)</v>
      </c>
      <c r="B112" s="73" t="n">
        <v>2011</v>
      </c>
      <c r="C112" s="73" t="n">
        <v>2012</v>
      </c>
      <c r="D112" s="73" t="n">
        <v>2013</v>
      </c>
      <c r="E112" s="73" t="n">
        <v>2014</v>
      </c>
      <c r="F112" s="73" t="n">
        <v>2015</v>
      </c>
    </row>
    <row r="113" customFormat="false" ht="15" hidden="false" customHeight="true" outlineLevel="0" collapsed="false">
      <c r="A113" s="57" t="s">
        <v>74</v>
      </c>
      <c r="C113" s="64" t="n">
        <f aca="false">C$18+$B$44*C$24+$D$44*C$31</f>
        <v>9.2415</v>
      </c>
      <c r="D113" s="64" t="n">
        <f aca="false">D$18+$B$44*D$24+$D$44*D$31</f>
        <v>10.343025</v>
      </c>
      <c r="E113" s="64" t="n">
        <f aca="false">E$18+$B$44*E$24+$D$44*E$31</f>
        <v>11.40482625</v>
      </c>
      <c r="F113" s="64" t="n">
        <f aca="false">F$18+$B$44*F$24+$D$44*F$31</f>
        <v>12.3821175625</v>
      </c>
    </row>
    <row r="114" customFormat="false" ht="15" hidden="false" customHeight="true" outlineLevel="0" collapsed="false">
      <c r="A114" s="57" t="s">
        <v>75</v>
      </c>
      <c r="C114" s="64" t="n">
        <f aca="false">C$19+$B$44*C$29+$D$44*C$34-$C$44*C$36</f>
        <v>2.4483</v>
      </c>
      <c r="D114" s="64" t="n">
        <f aca="false">D$19+$B$44*D$29+$D$44*D$34-$C$44*D$36</f>
        <v>2.88678221917808</v>
      </c>
      <c r="E114" s="64" t="n">
        <f aca="false">E$19+$B$44*E$29+$D$44*E$34-$C$44*E$36</f>
        <v>3.09434702763699</v>
      </c>
      <c r="F114" s="64" t="n">
        <f aca="false">F$19+$B$44*F$29+$D$44*F$34-$C$44*F$36</f>
        <v>3.2165</v>
      </c>
    </row>
    <row r="115" customFormat="false" ht="15" hidden="false" customHeight="true" outlineLevel="0" collapsed="false">
      <c r="A115" s="57" t="s">
        <v>76</v>
      </c>
      <c r="C115" s="64" t="n">
        <f aca="false">(C113-C114)*(1-Supuestos!$B$5)</f>
        <v>4.959036</v>
      </c>
      <c r="D115" s="64" t="n">
        <f aca="false">(D113-D114)*(1-Supuestos!$B$5)</f>
        <v>5.44305723</v>
      </c>
      <c r="E115" s="64" t="n">
        <f aca="false">(E113-E114)*(1-Supuestos!$B$5)</f>
        <v>6.066649832325</v>
      </c>
      <c r="F115" s="64" t="n">
        <f aca="false">(F113-F114)*(1-Supuestos!$B$5)</f>
        <v>6.690900820625</v>
      </c>
    </row>
    <row r="116" customFormat="false" ht="15" hidden="false" customHeight="true" outlineLevel="0" collapsed="false">
      <c r="A116" s="57" t="s">
        <v>81</v>
      </c>
      <c r="B116" s="64" t="n">
        <f aca="false">$B$22+$C$44*$B$12+$D$44*Supuestos!$B$14</f>
        <v>28.198</v>
      </c>
      <c r="C116" s="64" t="n">
        <f aca="false">B116+C115</f>
        <v>33.157036</v>
      </c>
      <c r="D116" s="64" t="n">
        <f aca="false">C116+D115</f>
        <v>38.60009323</v>
      </c>
      <c r="E116" s="64" t="n">
        <f aca="false">D116+E115</f>
        <v>44.666743062325</v>
      </c>
      <c r="F116" s="64" t="n">
        <f aca="false">E116+F115</f>
        <v>51.35764388295</v>
      </c>
    </row>
    <row r="117" customFormat="false" ht="15" hidden="false" customHeight="true" outlineLevel="0" collapsed="false">
      <c r="A117" s="57" t="s">
        <v>77</v>
      </c>
      <c r="C117" s="64" t="n">
        <f aca="false">C$20+$B$44*(C$25+C$26)+$D$44*(C$32+$B$7)</f>
        <v>71.8750085616438</v>
      </c>
      <c r="D117" s="64" t="n">
        <f aca="false">D$20+$B$44*(D$25+D$26)+$D$44*(D$32+$B$7)</f>
        <v>80.552458989726</v>
      </c>
      <c r="E117" s="64" t="n">
        <f aca="false">E$20+$B$44*(E$25+E$26)+$D$44*(E$32+$B$7)</f>
        <v>88.8510319392123</v>
      </c>
      <c r="F117" s="64" t="n">
        <f aca="false">F$20+$B$44*(F$25+F$26)+$D$44*(F$32+$B$7)</f>
        <v>96.383083536173</v>
      </c>
    </row>
    <row r="118" customFormat="false" ht="15" hidden="false" customHeight="true" outlineLevel="0" collapsed="false">
      <c r="A118" s="57" t="s">
        <v>175</v>
      </c>
      <c r="C118" s="64" t="n">
        <f aca="false">C$21+$B$44*C$27+$D$44*C$33</f>
        <v>6.41046575342465</v>
      </c>
      <c r="D118" s="64" t="n">
        <f aca="false">D$21+$B$44*D$27+$D$44*D$33</f>
        <v>7.21293904109589</v>
      </c>
      <c r="E118" s="64" t="n">
        <f aca="false">E$21+$B$44*E$27+$D$44*E$33</f>
        <v>7.98138599315069</v>
      </c>
      <c r="F118" s="64" t="n">
        <f aca="false">F$21+$B$44*F$27+$D$44*F$33</f>
        <v>8.68185529280821</v>
      </c>
    </row>
    <row r="119" customFormat="false" ht="15" hidden="false" customHeight="true" outlineLevel="0" collapsed="false">
      <c r="A119" s="57" t="s">
        <v>212</v>
      </c>
      <c r="C119" s="64" t="n">
        <f aca="false">C117-C116-C118</f>
        <v>32.3075068082192</v>
      </c>
      <c r="D119" s="64" t="n">
        <f aca="false">D117-D116-D118</f>
        <v>34.7394267186301</v>
      </c>
      <c r="E119" s="64" t="n">
        <f aca="false">E117-E116-E118</f>
        <v>36.2029028837367</v>
      </c>
      <c r="F119" s="64" t="n">
        <f aca="false">F117-F116-F118</f>
        <v>36.3435843604147</v>
      </c>
    </row>
    <row r="120" customFormat="false" ht="15" hidden="false" customHeight="true" outlineLevel="0" collapsed="false">
      <c r="A120" s="57" t="s">
        <v>84</v>
      </c>
      <c r="C120" s="68" t="n">
        <f aca="false">C119/C117</f>
        <v>0.449495693353699</v>
      </c>
      <c r="D120" s="68" t="n">
        <f aca="false">D119/D117</f>
        <v>0.431264633685</v>
      </c>
      <c r="E120" s="68" t="n">
        <f aca="false">E119/E117</f>
        <v>0.407456189237115</v>
      </c>
      <c r="F120" s="68" t="n">
        <f aca="false">F119/F117</f>
        <v>0.377074306268432</v>
      </c>
    </row>
    <row r="121" customFormat="false" ht="15" hidden="false" customHeight="true" outlineLevel="0" collapsed="false">
      <c r="A121" s="57" t="s">
        <v>87</v>
      </c>
      <c r="C121" s="69" t="n">
        <f aca="false">C117/C116</f>
        <v>2.16771512874805</v>
      </c>
      <c r="D121" s="69" t="n">
        <f aca="false">D117/D116</f>
        <v>2.08684622883555</v>
      </c>
      <c r="E121" s="69" t="n">
        <f aca="false">E117/E116</f>
        <v>1.98919880536702</v>
      </c>
      <c r="F121" s="69" t="n">
        <f aca="false">F117/F116</f>
        <v>1.87670376304336</v>
      </c>
    </row>
    <row r="122" customFormat="false" ht="15" hidden="false" customHeight="true" outlineLevel="0" collapsed="false">
      <c r="A122" s="57" t="s">
        <v>88</v>
      </c>
      <c r="C122" s="69" t="n">
        <f aca="false">C113/C114</f>
        <v>3.77465996814116</v>
      </c>
      <c r="D122" s="69" t="n">
        <f aca="false">D113/D114</f>
        <v>3.58289064249012</v>
      </c>
      <c r="E122" s="69" t="n">
        <f aca="false">E113/E114</f>
        <v>3.68569722404709</v>
      </c>
      <c r="F122" s="69" t="n">
        <f aca="false">F113/F114</f>
        <v>3.8495624319913</v>
      </c>
    </row>
    <row r="123" customFormat="false" ht="15" hidden="false" customHeight="true" outlineLevel="0" collapsed="false">
      <c r="A123" s="57" t="s">
        <v>213</v>
      </c>
      <c r="C123" s="74" t="n">
        <f aca="false">$B$9+$C$44*$B$10+$D$44*$B$11</f>
        <v>1.565327</v>
      </c>
      <c r="D123" s="74" t="n">
        <f aca="false">$B$9+$C$44*$B$10+$D$44*$B$11</f>
        <v>1.565327</v>
      </c>
      <c r="E123" s="74" t="n">
        <f aca="false">$B$9+$C$44*$B$10+$D$44*$B$11</f>
        <v>1.565327</v>
      </c>
      <c r="F123" s="74" t="n">
        <f aca="false">$B$9+$C$44*$B$10+$D$44*$B$11</f>
        <v>1.565327</v>
      </c>
    </row>
    <row r="124" customFormat="false" ht="15" hidden="false" customHeight="true" outlineLevel="0" collapsed="false">
      <c r="A124" s="57" t="s">
        <v>214</v>
      </c>
      <c r="C124" s="71" t="n">
        <f aca="false">C115/C123</f>
        <v>3.16805114841819</v>
      </c>
      <c r="D124" s="71" t="n">
        <f aca="false">D115/D123</f>
        <v>3.47726528067299</v>
      </c>
      <c r="E124" s="71" t="n">
        <f aca="false">E115/E123</f>
        <v>3.87564376793156</v>
      </c>
      <c r="F124" s="71" t="n">
        <f aca="false">F115/F123</f>
        <v>4.27444286122005</v>
      </c>
    </row>
    <row r="125" customFormat="false" ht="15" hidden="false" customHeight="true" outlineLevel="0" collapsed="false">
      <c r="A125" s="57" t="s">
        <v>215</v>
      </c>
      <c r="C125" s="75" t="str">
        <f aca="false">IF(AND(C120&lt;=Supuestos!$B$18,C121&lt;=Supuestos!$B$19),"Cumple","No cumple")</f>
        <v>Cumple</v>
      </c>
      <c r="D125" s="75" t="str">
        <f aca="false">IF(AND(D120&lt;=Supuestos!$B$18,D121&lt;=Supuestos!$B$19),"Cumple","No cumple")</f>
        <v>Cumple</v>
      </c>
      <c r="E125" s="75" t="str">
        <f aca="false">IF(AND(E120&lt;=Supuestos!$B$18,E121&lt;=Supuestos!$B$19),"Cumple","No cumple")</f>
        <v>Cumple</v>
      </c>
      <c r="F125" s="75" t="str">
        <f aca="false">IF(AND(F120&lt;=Supuestos!$B$18,F121&lt;=Supuestos!$B$19),"Cumple","No cumple")</f>
        <v>Cumple</v>
      </c>
    </row>
    <row r="127" customFormat="false" ht="15" hidden="false" customHeight="true" outlineLevel="0" collapsed="false">
      <c r="A127" s="63" t="str">
        <f aca="false">A45&amp;"   (TV="&amp;B45&amp;", Emisión="&amp;C45&amp;", HCS="&amp;D45&amp;")"</f>
        <v>6. TV + HCS   (TV=1, Emisión=0, HCS=1)</v>
      </c>
      <c r="B127" s="73" t="n">
        <v>2011</v>
      </c>
      <c r="C127" s="73" t="n">
        <v>2012</v>
      </c>
      <c r="D127" s="73" t="n">
        <v>2013</v>
      </c>
      <c r="E127" s="73" t="n">
        <v>2014</v>
      </c>
      <c r="F127" s="73" t="n">
        <v>2015</v>
      </c>
    </row>
    <row r="128" customFormat="false" ht="15" hidden="false" customHeight="true" outlineLevel="0" collapsed="false">
      <c r="A128" s="57" t="s">
        <v>74</v>
      </c>
      <c r="C128" s="64" t="n">
        <f aca="false">C$18+$B$45*C$24+$D$45*C$31</f>
        <v>10.63221752</v>
      </c>
      <c r="D128" s="64" t="n">
        <f aca="false">D$18+$B$45*D$24+$D$45*D$31</f>
        <v>12.0163964592</v>
      </c>
      <c r="E128" s="64" t="n">
        <f aca="false">E$18+$B$45*E$24+$D$45*E$31</f>
        <v>13.16186628216</v>
      </c>
      <c r="F128" s="64" t="n">
        <f aca="false">F$18+$B$45*F$24+$D$45*F$31</f>
        <v>14.2234955162037</v>
      </c>
    </row>
    <row r="129" customFormat="false" ht="15" hidden="false" customHeight="true" outlineLevel="0" collapsed="false">
      <c r="A129" s="57" t="s">
        <v>75</v>
      </c>
      <c r="C129" s="64" t="n">
        <f aca="false">C$19+$B$45*C$29+$D$45*C$34-$C$45*C$36</f>
        <v>3.5558</v>
      </c>
      <c r="D129" s="64" t="n">
        <f aca="false">D$19+$B$45*D$29+$D$45*D$34-$C$45*D$36</f>
        <v>4.09428221917808</v>
      </c>
      <c r="E129" s="64" t="n">
        <f aca="false">E$19+$B$45*E$29+$D$45*E$34-$C$45*E$36</f>
        <v>4.40184702763699</v>
      </c>
      <c r="F129" s="64" t="n">
        <f aca="false">F$19+$B$45*F$29+$D$45*F$34-$C$45*F$36</f>
        <v>4.624</v>
      </c>
    </row>
    <row r="130" customFormat="false" ht="15" hidden="false" customHeight="true" outlineLevel="0" collapsed="false">
      <c r="A130" s="57" t="s">
        <v>76</v>
      </c>
      <c r="C130" s="64" t="n">
        <f aca="false">(C128-C129)*(1-Supuestos!$B$5)</f>
        <v>5.1657847896</v>
      </c>
      <c r="D130" s="64" t="n">
        <f aca="false">(D128-D129)*(1-Supuestos!$B$5)</f>
        <v>5.783143395216</v>
      </c>
      <c r="E130" s="64" t="n">
        <f aca="false">(E128-E129)*(1-Supuestos!$B$5)</f>
        <v>6.3948140558018</v>
      </c>
      <c r="F130" s="64" t="n">
        <f aca="false">(F128-F129)*(1-Supuestos!$B$5)</f>
        <v>7.00763172682869</v>
      </c>
    </row>
    <row r="131" customFormat="false" ht="15" hidden="false" customHeight="true" outlineLevel="0" collapsed="false">
      <c r="A131" s="57" t="s">
        <v>81</v>
      </c>
      <c r="B131" s="64" t="n">
        <f aca="false">$B$22+$C$45*$B$12+$D$45*Supuestos!$B$14</f>
        <v>30.398</v>
      </c>
      <c r="C131" s="64" t="n">
        <f aca="false">B131+C130</f>
        <v>35.5637847896</v>
      </c>
      <c r="D131" s="64" t="n">
        <f aca="false">C131+D130</f>
        <v>41.346928184816</v>
      </c>
      <c r="E131" s="64" t="n">
        <f aca="false">D131+E130</f>
        <v>47.7417422406178</v>
      </c>
      <c r="F131" s="64" t="n">
        <f aca="false">E131+F130</f>
        <v>54.7493739674465</v>
      </c>
    </row>
    <row r="132" customFormat="false" ht="15" hidden="false" customHeight="true" outlineLevel="0" collapsed="false">
      <c r="A132" s="57" t="s">
        <v>77</v>
      </c>
      <c r="C132" s="64" t="n">
        <f aca="false">C$20+$B$45*(C$25+C$26)+$D$45*(C$32+$B$7)</f>
        <v>88.8253544705479</v>
      </c>
      <c r="D132" s="64" t="n">
        <f aca="false">D$20+$B$45*(D$25+D$26)+$D$45*(D$32+$B$7)</f>
        <v>98.1509418220685</v>
      </c>
      <c r="E132" s="64" t="n">
        <f aca="false">E$20+$B$45*(E$25+E$26)+$D$45*(E$32+$B$7)</f>
        <v>107.155638913172</v>
      </c>
      <c r="F132" s="64" t="n">
        <f aca="false">F$20+$B$45*(F$25+F$26)+$D$45*(F$32+$B$7)</f>
        <v>115.399463644883</v>
      </c>
    </row>
    <row r="133" customFormat="false" ht="15" hidden="false" customHeight="true" outlineLevel="0" collapsed="false">
      <c r="A133" s="57" t="s">
        <v>175</v>
      </c>
      <c r="C133" s="64" t="n">
        <f aca="false">C$21+$B$45*C$27+$D$45*C$33</f>
        <v>7.67240931868493</v>
      </c>
      <c r="D133" s="64" t="n">
        <f aca="false">D$21+$B$45*D$27+$D$45*D$33</f>
        <v>8.50147872734028</v>
      </c>
      <c r="E133" s="64" t="n">
        <f aca="false">E$21+$B$45*E$27+$D$45*E$33</f>
        <v>9.33435266370729</v>
      </c>
      <c r="F133" s="64" t="n">
        <f aca="false">F$21+$B$45*F$27+$D$45*F$33</f>
        <v>10.0997643635515</v>
      </c>
    </row>
    <row r="134" customFormat="false" ht="15" hidden="false" customHeight="true" outlineLevel="0" collapsed="false">
      <c r="A134" s="57" t="s">
        <v>212</v>
      </c>
      <c r="C134" s="64" t="n">
        <f aca="false">C132-C131-C133</f>
        <v>45.589160362263</v>
      </c>
      <c r="D134" s="64" t="n">
        <f aca="false">D132-D131-D133</f>
        <v>48.3025349099122</v>
      </c>
      <c r="E134" s="64" t="n">
        <f aca="false">E132-E131-E133</f>
        <v>50.0795440088468</v>
      </c>
      <c r="F134" s="64" t="n">
        <f aca="false">F132-F131-F133</f>
        <v>50.5503253138846</v>
      </c>
    </row>
    <row r="135" customFormat="false" ht="15" hidden="false" customHeight="true" outlineLevel="0" collapsed="false">
      <c r="A135" s="57" t="s">
        <v>84</v>
      </c>
      <c r="C135" s="68" t="n">
        <f aca="false">C134/C132</f>
        <v>0.513244902134099</v>
      </c>
      <c r="D135" s="68" t="n">
        <f aca="false">D134/D132</f>
        <v>0.492125027159462</v>
      </c>
      <c r="E135" s="68" t="n">
        <f aca="false">E134/E132</f>
        <v>0.467353323789392</v>
      </c>
      <c r="F135" s="68" t="n">
        <f aca="false">F134/F132</f>
        <v>0.438046449413686</v>
      </c>
    </row>
    <row r="136" customFormat="false" ht="15" hidden="false" customHeight="true" outlineLevel="0" collapsed="false">
      <c r="A136" s="57" t="s">
        <v>87</v>
      </c>
      <c r="C136" s="69" t="n">
        <f aca="false">C132/C131</f>
        <v>2.49763502383254</v>
      </c>
      <c r="D136" s="69" t="n">
        <f aca="false">D132/D131</f>
        <v>2.37383878636268</v>
      </c>
      <c r="E136" s="69" t="n">
        <f aca="false">E132/E131</f>
        <v>2.24448530539813</v>
      </c>
      <c r="F136" s="69" t="n">
        <f aca="false">F132/F131</f>
        <v>2.10777686176829</v>
      </c>
    </row>
    <row r="137" customFormat="false" ht="15" hidden="false" customHeight="true" outlineLevel="0" collapsed="false">
      <c r="A137" s="57" t="s">
        <v>88</v>
      </c>
      <c r="C137" s="69" t="n">
        <f aca="false">C128/C129</f>
        <v>2.99010560773947</v>
      </c>
      <c r="D137" s="69" t="n">
        <f aca="false">D128/D129</f>
        <v>2.93492138937415</v>
      </c>
      <c r="E137" s="69" t="n">
        <f aca="false">E128/E129</f>
        <v>2.99007807393652</v>
      </c>
      <c r="F137" s="69" t="n">
        <f aca="false">F128/F129</f>
        <v>3.07601546630702</v>
      </c>
    </row>
    <row r="138" customFormat="false" ht="15" hidden="false" customHeight="true" outlineLevel="0" collapsed="false">
      <c r="A138" s="57" t="s">
        <v>213</v>
      </c>
      <c r="C138" s="74" t="n">
        <f aca="false">$B$9+$C$45*$B$10+$D$45*$B$11</f>
        <v>1.570235</v>
      </c>
      <c r="D138" s="74" t="n">
        <f aca="false">$B$9+$C$45*$B$10+$D$45*$B$11</f>
        <v>1.570235</v>
      </c>
      <c r="E138" s="74" t="n">
        <f aca="false">$B$9+$C$45*$B$10+$D$45*$B$11</f>
        <v>1.570235</v>
      </c>
      <c r="F138" s="74" t="n">
        <f aca="false">$B$9+$C$45*$B$10+$D$45*$B$11</f>
        <v>1.570235</v>
      </c>
    </row>
    <row r="139" customFormat="false" ht="15" hidden="false" customHeight="true" outlineLevel="0" collapsed="false">
      <c r="A139" s="57" t="s">
        <v>214</v>
      </c>
      <c r="C139" s="71" t="n">
        <f aca="false">C130/C138</f>
        <v>3.28981635844316</v>
      </c>
      <c r="D139" s="71" t="n">
        <f aca="false">D130/D138</f>
        <v>3.68297955096912</v>
      </c>
      <c r="E139" s="71" t="n">
        <f aca="false">E130/E138</f>
        <v>4.07252039077068</v>
      </c>
      <c r="F139" s="71" t="n">
        <f aca="false">F130/F138</f>
        <v>4.46279170113307</v>
      </c>
    </row>
    <row r="140" customFormat="false" ht="15" hidden="false" customHeight="true" outlineLevel="0" collapsed="false">
      <c r="A140" s="57" t="s">
        <v>215</v>
      </c>
      <c r="C140" s="75" t="str">
        <f aca="false">IF(AND(C135&lt;=Supuestos!$B$18,C136&lt;=Supuestos!$B$19),"Cumple","No cumple")</f>
        <v>Cumple</v>
      </c>
      <c r="D140" s="75" t="str">
        <f aca="false">IF(AND(D135&lt;=Supuestos!$B$18,D136&lt;=Supuestos!$B$19),"Cumple","No cumple")</f>
        <v>Cumple</v>
      </c>
      <c r="E140" s="75" t="str">
        <f aca="false">IF(AND(E135&lt;=Supuestos!$B$18,E136&lt;=Supuestos!$B$19),"Cumple","No cumple")</f>
        <v>Cumple</v>
      </c>
      <c r="F140" s="75" t="str">
        <f aca="false">IF(AND(F135&lt;=Supuestos!$B$18,F136&lt;=Supuestos!$B$19),"Cumple","No cumple")</f>
        <v>Cumple</v>
      </c>
    </row>
    <row r="142" customFormat="false" ht="15" hidden="false" customHeight="true" outlineLevel="0" collapsed="false">
      <c r="A142" s="63" t="str">
        <f aca="false">A46&amp;"   (TV="&amp;B46&amp;", Emisión="&amp;C46&amp;", HCS="&amp;D46&amp;")"</f>
        <v>7. Emisión + HCS   (TV=0, Emisión=1, HCS=1)</v>
      </c>
      <c r="B142" s="73" t="n">
        <v>2011</v>
      </c>
      <c r="C142" s="73" t="n">
        <v>2012</v>
      </c>
      <c r="D142" s="73" t="n">
        <v>2013</v>
      </c>
      <c r="E142" s="73" t="n">
        <v>2014</v>
      </c>
      <c r="F142" s="73" t="n">
        <v>2015</v>
      </c>
    </row>
    <row r="143" customFormat="false" ht="15" hidden="false" customHeight="true" outlineLevel="0" collapsed="false">
      <c r="A143" s="57" t="s">
        <v>74</v>
      </c>
      <c r="C143" s="64" t="n">
        <f aca="false">C$18+$B$46*C$24+$D$46*C$31</f>
        <v>9.20971752</v>
      </c>
      <c r="D143" s="64" t="n">
        <f aca="false">D$18+$B$46*D$24+$D$46*D$31</f>
        <v>10.5083714592</v>
      </c>
      <c r="E143" s="64" t="n">
        <f aca="false">E$18+$B$46*E$24+$D$46*E$31</f>
        <v>11.56404003216</v>
      </c>
      <c r="F143" s="64" t="n">
        <f aca="false">F$18+$B$46*F$24+$D$46*F$31</f>
        <v>12.5313779537037</v>
      </c>
    </row>
    <row r="144" customFormat="false" ht="15" hidden="false" customHeight="true" outlineLevel="0" collapsed="false">
      <c r="A144" s="57" t="s">
        <v>75</v>
      </c>
      <c r="C144" s="64" t="n">
        <f aca="false">C$19+$B$46*C$29+$D$46*C$34-$C$46*C$36</f>
        <v>2.5295</v>
      </c>
      <c r="D144" s="64" t="n">
        <f aca="false">D$19+$B$46*D$29+$D$46*D$34-$C$46*D$36</f>
        <v>2.9745</v>
      </c>
      <c r="E144" s="64" t="n">
        <f aca="false">E$19+$B$46*E$29+$D$46*E$34-$C$46*E$36</f>
        <v>3.3865</v>
      </c>
      <c r="F144" s="64" t="n">
        <f aca="false">F$19+$B$46*F$29+$D$46*F$34-$C$46*F$36</f>
        <v>3.7165</v>
      </c>
    </row>
    <row r="145" customFormat="false" ht="15" hidden="false" customHeight="true" outlineLevel="0" collapsed="false">
      <c r="A145" s="57" t="s">
        <v>76</v>
      </c>
      <c r="C145" s="64" t="n">
        <f aca="false">(C143-C144)*(1-Supuestos!$B$5)</f>
        <v>4.8765587896</v>
      </c>
      <c r="D145" s="64" t="n">
        <f aca="false">(D143-D144)*(1-Supuestos!$B$5)</f>
        <v>5.499726165216</v>
      </c>
      <c r="E145" s="64" t="n">
        <f aca="false">(E143-E144)*(1-Supuestos!$B$5)</f>
        <v>5.9696042234768</v>
      </c>
      <c r="F145" s="64" t="n">
        <f aca="false">(F143-F144)*(1-Supuestos!$B$5)</f>
        <v>6.43486090620369</v>
      </c>
    </row>
    <row r="146" customFormat="false" ht="15" hidden="false" customHeight="true" outlineLevel="0" collapsed="false">
      <c r="A146" s="57" t="s">
        <v>81</v>
      </c>
      <c r="B146" s="64" t="n">
        <f aca="false">$B$22+$C$46*$B$12+$D$46*Supuestos!$B$14</f>
        <v>41.398</v>
      </c>
      <c r="C146" s="64" t="n">
        <f aca="false">B146+C145</f>
        <v>46.2745587896</v>
      </c>
      <c r="D146" s="64" t="n">
        <f aca="false">C146+D145</f>
        <v>51.774284954816</v>
      </c>
      <c r="E146" s="64" t="n">
        <f aca="false">D146+E145</f>
        <v>57.7438891782928</v>
      </c>
      <c r="F146" s="64" t="n">
        <f aca="false">E146+F145</f>
        <v>64.1787500844965</v>
      </c>
    </row>
    <row r="147" customFormat="false" ht="15" hidden="false" customHeight="true" outlineLevel="0" collapsed="false">
      <c r="A147" s="57" t="s">
        <v>77</v>
      </c>
      <c r="C147" s="64" t="n">
        <f aca="false">C$20+$B$46*(C$25+C$26)+$D$46*(C$32+$B$7)</f>
        <v>84.8243459089041</v>
      </c>
      <c r="D147" s="64" t="n">
        <f aca="false">D$20+$B$46*(D$25+D$26)+$D$46*(D$32+$B$7)</f>
        <v>94.2954828323425</v>
      </c>
      <c r="E147" s="64" t="n">
        <f aca="false">E$20+$B$46*(E$25+E$26)+$D$46*(E$32+$B$7)</f>
        <v>103.43860697396</v>
      </c>
      <c r="F147" s="64" t="n">
        <f aca="false">F$20+$B$46*(F$25+F$26)+$D$46*(F$32+$B$7)</f>
        <v>111.81338010871</v>
      </c>
    </row>
    <row r="148" customFormat="false" ht="15" hidden="false" customHeight="true" outlineLevel="0" collapsed="false">
      <c r="A148" s="57" t="s">
        <v>175</v>
      </c>
      <c r="C148" s="64" t="n">
        <f aca="false">C$21+$B$46*C$27+$D$46*C$33</f>
        <v>7.28294356526027</v>
      </c>
      <c r="D148" s="64" t="n">
        <f aca="false">D$21+$B$46*D$27+$D$46*D$33</f>
        <v>8.09253968624439</v>
      </c>
      <c r="E148" s="64" t="n">
        <f aca="false">E$21+$B$46*E$27+$D$46*E$33</f>
        <v>8.9049666705566</v>
      </c>
      <c r="F148" s="64" t="n">
        <f aca="false">F$21+$B$46*F$27+$D$46*F$33</f>
        <v>9.64890907074332</v>
      </c>
    </row>
    <row r="149" customFormat="false" ht="15" hidden="false" customHeight="true" outlineLevel="0" collapsed="false">
      <c r="A149" s="57" t="s">
        <v>212</v>
      </c>
      <c r="C149" s="64" t="n">
        <f aca="false">C147-C146-C148</f>
        <v>31.2668435540438</v>
      </c>
      <c r="D149" s="64" t="n">
        <f aca="false">D147-D146-D148</f>
        <v>34.4286581912821</v>
      </c>
      <c r="E149" s="64" t="n">
        <f aca="false">E147-E146-E148</f>
        <v>36.7897511251102</v>
      </c>
      <c r="F149" s="64" t="n">
        <f aca="false">F147-F146-F148</f>
        <v>37.9857209534699</v>
      </c>
    </row>
    <row r="150" customFormat="false" ht="15" hidden="false" customHeight="true" outlineLevel="0" collapsed="false">
      <c r="A150" s="57" t="s">
        <v>84</v>
      </c>
      <c r="C150" s="68" t="n">
        <f aca="false">C149/C147</f>
        <v>0.368606951447907</v>
      </c>
      <c r="D150" s="68" t="n">
        <f aca="false">D149/D147</f>
        <v>0.365114607371981</v>
      </c>
      <c r="E150" s="68" t="n">
        <f aca="false">E149/E147</f>
        <v>0.355667503665937</v>
      </c>
      <c r="F150" s="68" t="n">
        <f aca="false">F149/F147</f>
        <v>0.339724288064081</v>
      </c>
    </row>
    <row r="151" customFormat="false" ht="15" hidden="false" customHeight="true" outlineLevel="0" collapsed="false">
      <c r="A151" s="57" t="s">
        <v>87</v>
      </c>
      <c r="C151" s="69" t="n">
        <f aca="false">C147/C146</f>
        <v>1.83306655163545</v>
      </c>
      <c r="D151" s="69" t="n">
        <f aca="false">D147/D146</f>
        <v>1.82128025359762</v>
      </c>
      <c r="E151" s="69" t="n">
        <f aca="false">E147/E146</f>
        <v>1.79133425970976</v>
      </c>
      <c r="F151" s="69" t="n">
        <f aca="false">F147/F146</f>
        <v>1.74221810118611</v>
      </c>
    </row>
    <row r="152" customFormat="false" ht="15" hidden="false" customHeight="true" outlineLevel="0" collapsed="false">
      <c r="A152" s="57" t="s">
        <v>88</v>
      </c>
      <c r="C152" s="69" t="n">
        <f aca="false">C143/C144</f>
        <v>3.64092410357778</v>
      </c>
      <c r="D152" s="69" t="n">
        <f aca="false">D143/D144</f>
        <v>3.53281945173979</v>
      </c>
      <c r="E152" s="69" t="n">
        <f aca="false">E143/E144</f>
        <v>3.41474679821645</v>
      </c>
      <c r="F152" s="69" t="n">
        <f aca="false">F143/F144</f>
        <v>3.37182240110418</v>
      </c>
    </row>
    <row r="153" customFormat="false" ht="15" hidden="false" customHeight="true" outlineLevel="0" collapsed="false">
      <c r="A153" s="57" t="s">
        <v>213</v>
      </c>
      <c r="C153" s="74" t="n">
        <f aca="false">$B$9+$C$46*$B$10+$D$46*$B$11</f>
        <v>1.970235</v>
      </c>
      <c r="D153" s="74" t="n">
        <f aca="false">$B$9+$C$46*$B$10+$D$46*$B$11</f>
        <v>1.970235</v>
      </c>
      <c r="E153" s="74" t="n">
        <f aca="false">$B$9+$C$46*$B$10+$D$46*$B$11</f>
        <v>1.970235</v>
      </c>
      <c r="F153" s="74" t="n">
        <f aca="false">$B$9+$C$46*$B$10+$D$46*$B$11</f>
        <v>1.970235</v>
      </c>
    </row>
    <row r="154" customFormat="false" ht="15" hidden="false" customHeight="true" outlineLevel="0" collapsed="false">
      <c r="A154" s="57" t="s">
        <v>214</v>
      </c>
      <c r="C154" s="71" t="n">
        <f aca="false">C145/C153</f>
        <v>2.47511529822585</v>
      </c>
      <c r="D154" s="71" t="n">
        <f aca="false">D145/D153</f>
        <v>2.79140618515862</v>
      </c>
      <c r="E154" s="71" t="n">
        <f aca="false">E145/E153</f>
        <v>3.02989451688596</v>
      </c>
      <c r="F154" s="71" t="n">
        <f aca="false">F145/F153</f>
        <v>3.26603725251236</v>
      </c>
    </row>
    <row r="155" customFormat="false" ht="15" hidden="false" customHeight="true" outlineLevel="0" collapsed="false">
      <c r="A155" s="57" t="s">
        <v>215</v>
      </c>
      <c r="C155" s="75" t="str">
        <f aca="false">IF(AND(C150&lt;=Supuestos!$B$18,C151&lt;=Supuestos!$B$19),"Cumple","No cumple")</f>
        <v>Cumple</v>
      </c>
      <c r="D155" s="75" t="str">
        <f aca="false">IF(AND(D150&lt;=Supuestos!$B$18,D151&lt;=Supuestos!$B$19),"Cumple","No cumple")</f>
        <v>Cumple</v>
      </c>
      <c r="E155" s="75" t="str">
        <f aca="false">IF(AND(E150&lt;=Supuestos!$B$18,E151&lt;=Supuestos!$B$19),"Cumple","No cumple")</f>
        <v>Cumple</v>
      </c>
      <c r="F155" s="75" t="str">
        <f aca="false">IF(AND(F150&lt;=Supuestos!$B$18,F151&lt;=Supuestos!$B$19),"Cumple","No cumple")</f>
        <v>Cumple</v>
      </c>
    </row>
    <row r="157" customFormat="false" ht="15" hidden="false" customHeight="true" outlineLevel="0" collapsed="false">
      <c r="A157" s="63" t="str">
        <f aca="false">A47&amp;"   (TV="&amp;B47&amp;", Emisión="&amp;C47&amp;", HCS="&amp;D47&amp;")"</f>
        <v>8. TV + emisión + HCS   (TV=1, Emisión=1, HCS=1)</v>
      </c>
      <c r="B157" s="73" t="n">
        <v>2011</v>
      </c>
      <c r="C157" s="73" t="n">
        <v>2012</v>
      </c>
      <c r="D157" s="73" t="n">
        <v>2013</v>
      </c>
      <c r="E157" s="73" t="n">
        <v>2014</v>
      </c>
      <c r="F157" s="73" t="n">
        <v>2015</v>
      </c>
    </row>
    <row r="158" customFormat="false" ht="15" hidden="false" customHeight="true" outlineLevel="0" collapsed="false">
      <c r="A158" s="57" t="s">
        <v>74</v>
      </c>
      <c r="C158" s="64" t="n">
        <f aca="false">C$18+$B$47*C$24+$D$47*C$31</f>
        <v>10.63221752</v>
      </c>
      <c r="D158" s="64" t="n">
        <f aca="false">D$18+$B$47*D$24+$D$47*D$31</f>
        <v>12.0163964592</v>
      </c>
      <c r="E158" s="64" t="n">
        <f aca="false">E$18+$B$47*E$24+$D$47*E$31</f>
        <v>13.16186628216</v>
      </c>
      <c r="F158" s="64" t="n">
        <f aca="false">F$18+$B$47*F$24+$D$47*F$31</f>
        <v>14.2234955162037</v>
      </c>
    </row>
    <row r="159" customFormat="false" ht="15" hidden="false" customHeight="true" outlineLevel="0" collapsed="false">
      <c r="A159" s="57" t="s">
        <v>75</v>
      </c>
      <c r="C159" s="64" t="n">
        <f aca="false">C$19+$B$47*C$29+$D$47*C$34-$C$47*C$36</f>
        <v>2.6483</v>
      </c>
      <c r="D159" s="64" t="n">
        <f aca="false">D$19+$B$47*D$29+$D$47*D$34-$C$47*D$36</f>
        <v>3.18678221917808</v>
      </c>
      <c r="E159" s="64" t="n">
        <f aca="false">E$19+$B$47*E$29+$D$47*E$34-$C$47*E$36</f>
        <v>3.49434702763699</v>
      </c>
      <c r="F159" s="64" t="n">
        <f aca="false">F$19+$B$47*F$29+$D$47*F$34-$C$47*F$36</f>
        <v>3.7165</v>
      </c>
    </row>
    <row r="160" customFormat="false" ht="15" hidden="false" customHeight="true" outlineLevel="0" collapsed="false">
      <c r="A160" s="57" t="s">
        <v>76</v>
      </c>
      <c r="C160" s="64" t="n">
        <f aca="false">(C158-C159)*(1-Supuestos!$B$5)</f>
        <v>5.8282597896</v>
      </c>
      <c r="D160" s="64" t="n">
        <f aca="false">(D158-D159)*(1-Supuestos!$B$5)</f>
        <v>6.445618395216</v>
      </c>
      <c r="E160" s="64" t="n">
        <f aca="false">(E158-E159)*(1-Supuestos!$B$5)</f>
        <v>7.0572890558018</v>
      </c>
      <c r="F160" s="64" t="n">
        <f aca="false">(F158-F159)*(1-Supuestos!$B$5)</f>
        <v>7.67010672682869</v>
      </c>
    </row>
    <row r="161" customFormat="false" ht="15" hidden="false" customHeight="true" outlineLevel="0" collapsed="false">
      <c r="A161" s="57" t="s">
        <v>81</v>
      </c>
      <c r="B161" s="64" t="n">
        <f aca="false">$B$22+$C$47*$B$12+$D$47*Supuestos!$B$14</f>
        <v>41.398</v>
      </c>
      <c r="C161" s="64" t="n">
        <f aca="false">B161+C160</f>
        <v>47.2262597896</v>
      </c>
      <c r="D161" s="64" t="n">
        <f aca="false">C161+D160</f>
        <v>53.671878184816</v>
      </c>
      <c r="E161" s="64" t="n">
        <f aca="false">D161+E160</f>
        <v>60.7291672406178</v>
      </c>
      <c r="F161" s="64" t="n">
        <f aca="false">E161+F160</f>
        <v>68.3992739674465</v>
      </c>
    </row>
    <row r="162" customFormat="false" ht="15" hidden="false" customHeight="true" outlineLevel="0" collapsed="false">
      <c r="A162" s="57" t="s">
        <v>77</v>
      </c>
      <c r="C162" s="64" t="n">
        <f aca="false">C$20+$B$47*(C$25+C$26)+$D$47*(C$32+$B$7)</f>
        <v>88.8253544705479</v>
      </c>
      <c r="D162" s="64" t="n">
        <f aca="false">D$20+$B$47*(D$25+D$26)+$D$47*(D$32+$B$7)</f>
        <v>98.1509418220685</v>
      </c>
      <c r="E162" s="64" t="n">
        <f aca="false">E$20+$B$47*(E$25+E$26)+$D$47*(E$32+$B$7)</f>
        <v>107.155638913172</v>
      </c>
      <c r="F162" s="64" t="n">
        <f aca="false">F$20+$B$47*(F$25+F$26)+$D$47*(F$32+$B$7)</f>
        <v>115.399463644883</v>
      </c>
    </row>
    <row r="163" customFormat="false" ht="15" hidden="false" customHeight="true" outlineLevel="0" collapsed="false">
      <c r="A163" s="57" t="s">
        <v>175</v>
      </c>
      <c r="C163" s="64" t="n">
        <f aca="false">C$21+$B$47*C$27+$D$47*C$33</f>
        <v>7.67240931868493</v>
      </c>
      <c r="D163" s="64" t="n">
        <f aca="false">D$21+$B$47*D$27+$D$47*D$33</f>
        <v>8.50147872734028</v>
      </c>
      <c r="E163" s="64" t="n">
        <f aca="false">E$21+$B$47*E$27+$D$47*E$33</f>
        <v>9.33435266370729</v>
      </c>
      <c r="F163" s="64" t="n">
        <f aca="false">F$21+$B$47*F$27+$D$47*F$33</f>
        <v>10.0997643635515</v>
      </c>
    </row>
    <row r="164" customFormat="false" ht="15" hidden="false" customHeight="true" outlineLevel="0" collapsed="false">
      <c r="A164" s="57" t="s">
        <v>212</v>
      </c>
      <c r="C164" s="64" t="n">
        <f aca="false">C162-C161-C163</f>
        <v>33.926685362263</v>
      </c>
      <c r="D164" s="64" t="n">
        <f aca="false">D162-D161-D163</f>
        <v>35.9775849099122</v>
      </c>
      <c r="E164" s="64" t="n">
        <f aca="false">E162-E161-E163</f>
        <v>37.0921190088468</v>
      </c>
      <c r="F164" s="64" t="n">
        <f aca="false">F162-F161-F163</f>
        <v>36.9004253138846</v>
      </c>
    </row>
    <row r="165" customFormat="false" ht="15" hidden="false" customHeight="true" outlineLevel="0" collapsed="false">
      <c r="A165" s="57" t="s">
        <v>84</v>
      </c>
      <c r="C165" s="68" t="n">
        <f aca="false">C164/C162</f>
        <v>0.381948212472512</v>
      </c>
      <c r="D165" s="68" t="n">
        <f aca="false">D164/D162</f>
        <v>0.366553639140149</v>
      </c>
      <c r="E165" s="68" t="n">
        <f aca="false">E164/E162</f>
        <v>0.346151816041175</v>
      </c>
      <c r="F165" s="68" t="n">
        <f aca="false">F164/F162</f>
        <v>0.319762537436377</v>
      </c>
    </row>
    <row r="166" customFormat="false" ht="15" hidden="false" customHeight="true" outlineLevel="0" collapsed="false">
      <c r="A166" s="57" t="s">
        <v>87</v>
      </c>
      <c r="C166" s="69" t="n">
        <f aca="false">C162/C161</f>
        <v>1.88084669135939</v>
      </c>
      <c r="D166" s="69" t="n">
        <f aca="false">D162/D161</f>
        <v>1.82872195163529</v>
      </c>
      <c r="E166" s="69" t="n">
        <f aca="false">E162/E161</f>
        <v>1.76448391740011</v>
      </c>
      <c r="F166" s="69" t="n">
        <f aca="false">F162/F161</f>
        <v>1.68714456968951</v>
      </c>
    </row>
    <row r="167" customFormat="false" ht="15" hidden="false" customHeight="true" outlineLevel="0" collapsed="false">
      <c r="A167" s="57" t="s">
        <v>88</v>
      </c>
      <c r="C167" s="69" t="n">
        <f aca="false">C158/C159</f>
        <v>4.01473304383945</v>
      </c>
      <c r="D167" s="69" t="n">
        <f aca="false">D158/D159</f>
        <v>3.77069897870185</v>
      </c>
      <c r="E167" s="69" t="n">
        <f aca="false">E158/E159</f>
        <v>3.76661681798117</v>
      </c>
      <c r="F167" s="69" t="n">
        <f aca="false">F158/F159</f>
        <v>3.82712108602279</v>
      </c>
    </row>
    <row r="168" customFormat="false" ht="15" hidden="false" customHeight="true" outlineLevel="0" collapsed="false">
      <c r="A168" s="57" t="s">
        <v>213</v>
      </c>
      <c r="C168" s="74" t="n">
        <f aca="false">$B$9+$C$47*$B$10+$D$47*$B$11</f>
        <v>1.970235</v>
      </c>
      <c r="D168" s="74" t="n">
        <f aca="false">$B$9+$C$47*$B$10+$D$47*$B$11</f>
        <v>1.970235</v>
      </c>
      <c r="E168" s="74" t="n">
        <f aca="false">$B$9+$C$47*$B$10+$D$47*$B$11</f>
        <v>1.970235</v>
      </c>
      <c r="F168" s="74" t="n">
        <f aca="false">$B$9+$C$47*$B$10+$D$47*$B$11</f>
        <v>1.970235</v>
      </c>
    </row>
    <row r="169" customFormat="false" ht="15" hidden="false" customHeight="true" outlineLevel="0" collapsed="false">
      <c r="A169" s="57" t="s">
        <v>214</v>
      </c>
      <c r="C169" s="71" t="n">
        <f aca="false">C160/C168</f>
        <v>2.95815463109731</v>
      </c>
      <c r="D169" s="71" t="n">
        <f aca="false">D160/D168</f>
        <v>3.27149725551318</v>
      </c>
      <c r="E169" s="71" t="n">
        <f aca="false">E160/E168</f>
        <v>3.58195294256868</v>
      </c>
      <c r="F169" s="71" t="n">
        <f aca="false">F160/F168</f>
        <v>3.89299079898017</v>
      </c>
    </row>
    <row r="170" customFormat="false" ht="15" hidden="false" customHeight="true" outlineLevel="0" collapsed="false">
      <c r="A170" s="57" t="s">
        <v>215</v>
      </c>
      <c r="C170" s="75" t="str">
        <f aca="false">IF(AND(C165&lt;=Supuestos!$B$18,C166&lt;=Supuestos!$B$19),"Cumple","No cumple")</f>
        <v>Cumple</v>
      </c>
      <c r="D170" s="75" t="str">
        <f aca="false">IF(AND(D165&lt;=Supuestos!$B$18,D166&lt;=Supuestos!$B$19),"Cumple","No cumple")</f>
        <v>Cumple</v>
      </c>
      <c r="E170" s="75" t="str">
        <f aca="false">IF(AND(E165&lt;=Supuestos!$B$18,E166&lt;=Supuestos!$B$19),"Cumple","No cumple")</f>
        <v>Cumple</v>
      </c>
      <c r="F170" s="75" t="str">
        <f aca="false">IF(AND(F165&lt;=Supuestos!$B$18,F166&lt;=Supuestos!$B$19),"Cumple","No cumple")</f>
        <v>Cumple</v>
      </c>
    </row>
  </sheetData>
  <conditionalFormatting sqref="G40:G47">
    <cfRule type="expression" priority="2" aboveAverage="0" equalAverage="0" bottom="0" percent="0" rank="0" text="" dxfId="0">
      <formula>G40="Cumple"</formula>
    </cfRule>
    <cfRule type="expression" priority="3" aboveAverage="0" equalAverage="0" bottom="0" percent="0" rank="0" text="" dxfId="1">
      <formula>G40="No cumple"</formula>
    </cfRule>
  </conditionalFormatting>
  <conditionalFormatting sqref="C52:F172">
    <cfRule type="expression" priority="4" aboveAverage="0" equalAverage="0" bottom="0" percent="0" rank="0" text="" dxfId="0">
      <formula>C52="Cumple"</formula>
    </cfRule>
    <cfRule type="expression" priority="5" aboveAverage="0" equalAverage="0" bottom="0" percent="0" rank="0" text="" dxfId="1">
      <formula>C52="No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2026-10-23T13:00:49Z</dcterms:created>
  <dc:creator>Norberto Rodriguez</dc:creator>
  <dc:description/>
  <dc:language>en-US</dc:language>
  <cp:lastModifiedBy>Norberto Rodriguez</cp:lastModifiedBy>
  <dcterms:modified xsi:type="dcterms:W3CDTF">2026-10-25T22:08:44Z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